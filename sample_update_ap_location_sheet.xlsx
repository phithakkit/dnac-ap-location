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79113A9-699F-40BB-B2A1-1B4D18B3257A}" xr6:coauthVersionLast="47" xr6:coauthVersionMax="47" xr10:uidLastSave="{00000000-0000-0000-0000-000000000000}"/>
  <bookViews>
    <workbookView xWindow="-120" yWindow="-120" windowWidth="29040" windowHeight="15720" xr2:uid="{7AE7094C-F3DC-40C5-AA45-3FBC827C0E7F}"/>
  </bookViews>
  <sheets>
    <sheet name="Sample Floor" sheetId="1" r:id="rId1"/>
  </sheets>
  <definedNames>
    <definedName name="_xlnm._FilterDatabase" localSheetId="0" hidden="1">'Sample Floor'!$A$11:$I$188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2" i="1"/>
  <c r="B9" i="1"/>
  <c r="I186" i="1" s="1"/>
  <c r="B8" i="1"/>
  <c r="H188" i="1" s="1"/>
  <c r="I161" i="1" l="1"/>
  <c r="H63" i="1"/>
  <c r="H33" i="1"/>
  <c r="H69" i="1"/>
  <c r="H24" i="1"/>
  <c r="H39" i="1"/>
  <c r="H88" i="1"/>
  <c r="H52" i="1"/>
  <c r="H51" i="1"/>
  <c r="H57" i="1"/>
  <c r="I27" i="1"/>
  <c r="I42" i="1"/>
  <c r="I89" i="1"/>
  <c r="I128" i="1"/>
  <c r="I165" i="1"/>
  <c r="I38" i="1"/>
  <c r="I110" i="1"/>
  <c r="I24" i="1"/>
  <c r="I14" i="1"/>
  <c r="I28" i="1"/>
  <c r="I68" i="1"/>
  <c r="I92" i="1"/>
  <c r="I129" i="1"/>
  <c r="I171" i="1"/>
  <c r="I74" i="1"/>
  <c r="I124" i="1"/>
  <c r="I17" i="1"/>
  <c r="I103" i="1"/>
  <c r="I140" i="1"/>
  <c r="I179" i="1"/>
  <c r="I150" i="1"/>
  <c r="I57" i="1"/>
  <c r="I18" i="1"/>
  <c r="I35" i="1"/>
  <c r="I56" i="1"/>
  <c r="I71" i="1"/>
  <c r="I107" i="1"/>
  <c r="I146" i="1"/>
  <c r="I187" i="1"/>
  <c r="I21" i="1"/>
  <c r="I31" i="1"/>
  <c r="I52" i="1"/>
  <c r="I63" i="1"/>
  <c r="I78" i="1"/>
  <c r="I93" i="1"/>
  <c r="I114" i="1"/>
  <c r="I135" i="1"/>
  <c r="I154" i="1"/>
  <c r="I175" i="1"/>
  <c r="I13" i="1"/>
  <c r="I32" i="1"/>
  <c r="I39" i="1"/>
  <c r="I53" i="1"/>
  <c r="I67" i="1"/>
  <c r="I82" i="1"/>
  <c r="I99" i="1"/>
  <c r="I118" i="1"/>
  <c r="I139" i="1"/>
  <c r="I160" i="1"/>
  <c r="I176" i="1"/>
  <c r="I16" i="1"/>
  <c r="I25" i="1"/>
  <c r="I34" i="1"/>
  <c r="I46" i="1"/>
  <c r="I88" i="1"/>
  <c r="I104" i="1"/>
  <c r="I125" i="1"/>
  <c r="I143" i="1"/>
  <c r="I164" i="1"/>
  <c r="H18" i="1"/>
  <c r="H34" i="1"/>
  <c r="H75" i="1"/>
  <c r="H111" i="1"/>
  <c r="H28" i="1"/>
  <c r="H43" i="1"/>
  <c r="H118" i="1"/>
  <c r="H100" i="1"/>
  <c r="H142" i="1"/>
  <c r="H174" i="1"/>
  <c r="H45" i="1"/>
  <c r="H81" i="1"/>
  <c r="H93" i="1"/>
  <c r="H105" i="1"/>
  <c r="H136" i="1"/>
  <c r="H148" i="1"/>
  <c r="H166" i="1"/>
  <c r="H19" i="1"/>
  <c r="H108" i="1"/>
  <c r="H25" i="1"/>
  <c r="H46" i="1"/>
  <c r="H64" i="1"/>
  <c r="H76" i="1"/>
  <c r="H94" i="1"/>
  <c r="H114" i="1"/>
  <c r="H126" i="1"/>
  <c r="H132" i="1"/>
  <c r="H144" i="1"/>
  <c r="H16" i="1"/>
  <c r="H31" i="1"/>
  <c r="H58" i="1"/>
  <c r="H78" i="1"/>
  <c r="H90" i="1"/>
  <c r="H103" i="1"/>
  <c r="H127" i="1"/>
  <c r="H133" i="1"/>
  <c r="H151" i="1"/>
  <c r="H159" i="1"/>
  <c r="H171" i="1"/>
  <c r="H42" i="1"/>
  <c r="H54" i="1"/>
  <c r="H60" i="1"/>
  <c r="H72" i="1"/>
  <c r="H85" i="1"/>
  <c r="H91" i="1"/>
  <c r="H97" i="1"/>
  <c r="H109" i="1"/>
  <c r="H115" i="1"/>
  <c r="H123" i="1"/>
  <c r="H135" i="1"/>
  <c r="H153" i="1"/>
  <c r="H160" i="1"/>
  <c r="H165" i="1"/>
  <c r="H177" i="1"/>
  <c r="H184" i="1"/>
  <c r="H106" i="1"/>
  <c r="H15" i="1"/>
  <c r="H30" i="1"/>
  <c r="H70" i="1"/>
  <c r="H102" i="1"/>
  <c r="H120" i="1"/>
  <c r="H139" i="1"/>
  <c r="H157" i="1"/>
  <c r="H163" i="1"/>
  <c r="H169" i="1"/>
  <c r="H181" i="1"/>
  <c r="H21" i="1"/>
  <c r="H40" i="1"/>
  <c r="H66" i="1"/>
  <c r="H84" i="1"/>
  <c r="H96" i="1"/>
  <c r="H121" i="1"/>
  <c r="H145" i="1"/>
  <c r="H183" i="1"/>
  <c r="H12" i="1"/>
  <c r="H27" i="1"/>
  <c r="H36" i="1"/>
  <c r="H48" i="1"/>
  <c r="H67" i="1"/>
  <c r="H13" i="1"/>
  <c r="H22" i="1"/>
  <c r="H37" i="1"/>
  <c r="H49" i="1"/>
  <c r="H55" i="1"/>
  <c r="H61" i="1"/>
  <c r="H73" i="1"/>
  <c r="H79" i="1"/>
  <c r="H87" i="1"/>
  <c r="H99" i="1"/>
  <c r="H117" i="1"/>
  <c r="H124" i="1"/>
  <c r="H129" i="1"/>
  <c r="H141" i="1"/>
  <c r="H147" i="1"/>
  <c r="H154" i="1"/>
  <c r="H172" i="1"/>
  <c r="H178" i="1"/>
  <c r="H186" i="1"/>
  <c r="H82" i="1"/>
  <c r="H112" i="1"/>
  <c r="H130" i="1"/>
  <c r="H138" i="1"/>
  <c r="H150" i="1"/>
  <c r="H156" i="1"/>
  <c r="H162" i="1"/>
  <c r="H168" i="1"/>
  <c r="H175" i="1"/>
  <c r="H180" i="1"/>
  <c r="I188" i="1"/>
  <c r="I182" i="1"/>
  <c r="I185" i="1"/>
  <c r="I181" i="1"/>
  <c r="I174" i="1"/>
  <c r="I167" i="1"/>
  <c r="I163" i="1"/>
  <c r="I156" i="1"/>
  <c r="I149" i="1"/>
  <c r="I145" i="1"/>
  <c r="I138" i="1"/>
  <c r="I131" i="1"/>
  <c r="I127" i="1"/>
  <c r="I120" i="1"/>
  <c r="I113" i="1"/>
  <c r="I109" i="1"/>
  <c r="I102" i="1"/>
  <c r="I95" i="1"/>
  <c r="I91" i="1"/>
  <c r="I84" i="1"/>
  <c r="I77" i="1"/>
  <c r="I73" i="1"/>
  <c r="I66" i="1"/>
  <c r="I59" i="1"/>
  <c r="I55" i="1"/>
  <c r="I48" i="1"/>
  <c r="I41" i="1"/>
  <c r="I37" i="1"/>
  <c r="I30" i="1"/>
  <c r="I23" i="1"/>
  <c r="I19" i="1"/>
  <c r="I12" i="1"/>
  <c r="I184" i="1"/>
  <c r="I177" i="1"/>
  <c r="I170" i="1"/>
  <c r="I166" i="1"/>
  <c r="I159" i="1"/>
  <c r="I152" i="1"/>
  <c r="I148" i="1"/>
  <c r="I141" i="1"/>
  <c r="I134" i="1"/>
  <c r="I130" i="1"/>
  <c r="I123" i="1"/>
  <c r="I116" i="1"/>
  <c r="I112" i="1"/>
  <c r="I105" i="1"/>
  <c r="I98" i="1"/>
  <c r="I94" i="1"/>
  <c r="I87" i="1"/>
  <c r="I80" i="1"/>
  <c r="I76" i="1"/>
  <c r="I69" i="1"/>
  <c r="I62" i="1"/>
  <c r="I58" i="1"/>
  <c r="I51" i="1"/>
  <c r="I44" i="1"/>
  <c r="I40" i="1"/>
  <c r="I33" i="1"/>
  <c r="I26" i="1"/>
  <c r="I22" i="1"/>
  <c r="I15" i="1"/>
  <c r="I180" i="1"/>
  <c r="I173" i="1"/>
  <c r="I169" i="1"/>
  <c r="I162" i="1"/>
  <c r="I155" i="1"/>
  <c r="I151" i="1"/>
  <c r="I144" i="1"/>
  <c r="I137" i="1"/>
  <c r="I133" i="1"/>
  <c r="I126" i="1"/>
  <c r="I119" i="1"/>
  <c r="I115" i="1"/>
  <c r="I108" i="1"/>
  <c r="I101" i="1"/>
  <c r="I97" i="1"/>
  <c r="I90" i="1"/>
  <c r="I83" i="1"/>
  <c r="I79" i="1"/>
  <c r="I72" i="1"/>
  <c r="I65" i="1"/>
  <c r="I61" i="1"/>
  <c r="I54" i="1"/>
  <c r="I47" i="1"/>
  <c r="I43" i="1"/>
  <c r="I36" i="1"/>
  <c r="I20" i="1"/>
  <c r="I29" i="1"/>
  <c r="I49" i="1"/>
  <c r="I64" i="1"/>
  <c r="I85" i="1"/>
  <c r="I100" i="1"/>
  <c r="I121" i="1"/>
  <c r="I136" i="1"/>
  <c r="I157" i="1"/>
  <c r="I172" i="1"/>
  <c r="I183" i="1"/>
  <c r="I45" i="1"/>
  <c r="I50" i="1"/>
  <c r="I60" i="1"/>
  <c r="I70" i="1"/>
  <c r="I75" i="1"/>
  <c r="I81" i="1"/>
  <c r="I86" i="1"/>
  <c r="I96" i="1"/>
  <c r="I106" i="1"/>
  <c r="I111" i="1"/>
  <c r="I117" i="1"/>
  <c r="I122" i="1"/>
  <c r="I132" i="1"/>
  <c r="I142" i="1"/>
  <c r="I147" i="1"/>
  <c r="I153" i="1"/>
  <c r="I158" i="1"/>
  <c r="I168" i="1"/>
  <c r="I178" i="1"/>
  <c r="H187" i="1"/>
  <c r="H14" i="1"/>
  <c r="H17" i="1"/>
  <c r="H20" i="1"/>
  <c r="H23" i="1"/>
  <c r="H26" i="1"/>
  <c r="H29" i="1"/>
  <c r="H32" i="1"/>
  <c r="H35" i="1"/>
  <c r="H38" i="1"/>
  <c r="H41" i="1"/>
  <c r="H44" i="1"/>
  <c r="H47" i="1"/>
  <c r="H50" i="1"/>
  <c r="H53" i="1"/>
  <c r="H56" i="1"/>
  <c r="H59" i="1"/>
  <c r="H62" i="1"/>
  <c r="H65" i="1"/>
  <c r="H68" i="1"/>
  <c r="H71" i="1"/>
  <c r="H74" i="1"/>
  <c r="H77" i="1"/>
  <c r="H80" i="1"/>
  <c r="H83" i="1"/>
  <c r="H86" i="1"/>
  <c r="H89" i="1"/>
  <c r="H92" i="1"/>
  <c r="H95" i="1"/>
  <c r="H98" i="1"/>
  <c r="H101" i="1"/>
  <c r="H104" i="1"/>
  <c r="H107" i="1"/>
  <c r="H110" i="1"/>
  <c r="H113" i="1"/>
  <c r="H116" i="1"/>
  <c r="H119" i="1"/>
  <c r="H122" i="1"/>
  <c r="H125" i="1"/>
  <c r="H128" i="1"/>
  <c r="H131" i="1"/>
  <c r="H134" i="1"/>
  <c r="H137" i="1"/>
  <c r="H140" i="1"/>
  <c r="H143" i="1"/>
  <c r="H146" i="1"/>
  <c r="H149" i="1"/>
  <c r="H152" i="1"/>
  <c r="H155" i="1"/>
  <c r="H158" i="1"/>
  <c r="H161" i="1"/>
  <c r="H164" i="1"/>
  <c r="H167" i="1"/>
  <c r="H170" i="1"/>
  <c r="H173" i="1"/>
  <c r="H176" i="1"/>
  <c r="H179" i="1"/>
  <c r="H182" i="1"/>
  <c r="H185" i="1"/>
  <c r="J12" i="1" l="1"/>
</calcChain>
</file>

<file path=xl/sharedStrings.xml><?xml version="1.0" encoding="utf-8"?>
<sst xmlns="http://schemas.openxmlformats.org/spreadsheetml/2006/main" count="736" uniqueCount="386">
  <si>
    <t>Device</t>
  </si>
  <si>
    <t>Model</t>
  </si>
  <si>
    <t>Name</t>
  </si>
  <si>
    <t>MAC Address</t>
  </si>
  <si>
    <t>Radios</t>
  </si>
  <si>
    <t>x1</t>
  </si>
  <si>
    <t>y1</t>
  </si>
  <si>
    <t>x2</t>
  </si>
  <si>
    <t>y2</t>
  </si>
  <si>
    <t>Reference Point</t>
  </si>
  <si>
    <t>AP</t>
  </si>
  <si>
    <t>C9136I-B</t>
  </si>
  <si>
    <t>AP-LFH-1-001</t>
  </si>
  <si>
    <t>10:a8:29:b0:65:40</t>
  </si>
  <si>
    <t>AP-LFH-1-002</t>
  </si>
  <si>
    <t>ac:2a:a1:d3:d4:90</t>
  </si>
  <si>
    <t>AP-LFH-1-003</t>
  </si>
  <si>
    <t>10:a8:29:b0:2a:c0</t>
  </si>
  <si>
    <t>AP-LFH-1-004</t>
  </si>
  <si>
    <t>10:a8:29:c3:63:20</t>
  </si>
  <si>
    <t>AP-LFH-1-005</t>
  </si>
  <si>
    <t>10:a8:29:c3:f8:f0</t>
  </si>
  <si>
    <t>AP-LFH-1-007</t>
  </si>
  <si>
    <t>24:16:1b:8e:cd:e0</t>
  </si>
  <si>
    <t>AP-LFH-1-008</t>
  </si>
  <si>
    <t>24:16:1b:8f:47:00</t>
  </si>
  <si>
    <t>AP-LFH-1-009</t>
  </si>
  <si>
    <t>24:16:1b:8d:8e:a0</t>
  </si>
  <si>
    <t>AP-LFH-1-010</t>
  </si>
  <si>
    <t>24:16:1b:88:80:d0</t>
  </si>
  <si>
    <t>AP-LFH-1-011</t>
  </si>
  <si>
    <t>24:16:1b:94:bd:c0</t>
  </si>
  <si>
    <t>AP-LFH-1-012</t>
  </si>
  <si>
    <t>24:16:1b:94:61:50</t>
  </si>
  <si>
    <t>AP-LFH-1-013</t>
  </si>
  <si>
    <t>24:16:1b:94:ae:f0</t>
  </si>
  <si>
    <t>AP-LFH-1-014</t>
  </si>
  <si>
    <t>24:16:1b:8f:3d:10</t>
  </si>
  <si>
    <t>AP-LFH-1-015</t>
  </si>
  <si>
    <t>10:a8:29:c3:e9:30</t>
  </si>
  <si>
    <t>AP-LFH-1-016</t>
  </si>
  <si>
    <t>10:a8:29:b0:9c:c0</t>
  </si>
  <si>
    <t>AP-LFH-1-017</t>
  </si>
  <si>
    <t>10:a8:29:b0:9a:50</t>
  </si>
  <si>
    <t>AP-LFH-1-018</t>
  </si>
  <si>
    <t>10:a8:29:b0:a2:90</t>
  </si>
  <si>
    <t>AP-LFH-1-019</t>
  </si>
  <si>
    <t>10:a8:29:b0:9c:60</t>
  </si>
  <si>
    <t>AP-LFH-1-020</t>
  </si>
  <si>
    <t>10:a8:29:b0:15:60</t>
  </si>
  <si>
    <t>AP-LFH-1-021</t>
  </si>
  <si>
    <t>ac:2a:a1:d3:e8:40</t>
  </si>
  <si>
    <t>AP-LFH-1-022</t>
  </si>
  <si>
    <t>ac:2a:a1:d3:c7:a0</t>
  </si>
  <si>
    <t>AP-LFH-1-023</t>
  </si>
  <si>
    <t>10:a8:29:b0:46:80</t>
  </si>
  <si>
    <t>AP-LFH-1-024</t>
  </si>
  <si>
    <t>10:a8:29:c2:f0:c0</t>
  </si>
  <si>
    <t>AP-LFH-1-025</t>
  </si>
  <si>
    <t>10:a8:29:ac:c8:a0</t>
  </si>
  <si>
    <t>AP-LFH-1-026</t>
  </si>
  <si>
    <t>24:16:1b:8e:9e:70</t>
  </si>
  <si>
    <t>AP-LFH-1-027</t>
  </si>
  <si>
    <t>24:16:1b:8f:8b:40</t>
  </si>
  <si>
    <t>AP-LFH-1-028</t>
  </si>
  <si>
    <t>24:16:1b:8e:b8:e0</t>
  </si>
  <si>
    <t>AP-LFH-1-029</t>
  </si>
  <si>
    <t>24:16:1b:8e:1b:30</t>
  </si>
  <si>
    <t>AP-LFH-1-030</t>
  </si>
  <si>
    <t>ac:2a:a1:d3:a3:a0</t>
  </si>
  <si>
    <t>AP-LFH-1-031</t>
  </si>
  <si>
    <t>74:11:b2:b8:0f:c0</t>
  </si>
  <si>
    <t>AP-LFH-1-032</t>
  </si>
  <si>
    <t>10:a8:29:b0:31:50</t>
  </si>
  <si>
    <t>AP-LFH-1-033</t>
  </si>
  <si>
    <t>24:16:1b:91:4e:50</t>
  </si>
  <si>
    <t>AP-LFH-1-034</t>
  </si>
  <si>
    <t>24:16:1b:90:e6:40</t>
  </si>
  <si>
    <t>AP-LFH-1-035</t>
  </si>
  <si>
    <t>24:16:1b:8f:88:40</t>
  </si>
  <si>
    <t>AP-LFH-1-036</t>
  </si>
  <si>
    <t>10:a8:29:b0:4d:40</t>
  </si>
  <si>
    <t>AP-LFH-1-037</t>
  </si>
  <si>
    <t>10:a8:29:c3:93:50</t>
  </si>
  <si>
    <t>AP-LFH-1-038</t>
  </si>
  <si>
    <t>10:a8:29:af:c9:80</t>
  </si>
  <si>
    <t>AP-LFH-1-039</t>
  </si>
  <si>
    <t>10:a8:29:c3:68:c0</t>
  </si>
  <si>
    <t>AP-LFH-1-040</t>
  </si>
  <si>
    <t>10:a8:29:c3:cc:50</t>
  </si>
  <si>
    <t>AP-LFH-1-041</t>
  </si>
  <si>
    <t>10:a8:29:b0:65:a0</t>
  </si>
  <si>
    <t>AP-LFH-1-042</t>
  </si>
  <si>
    <t>10:a8:29:b0:ac:e0</t>
  </si>
  <si>
    <t>AP-LFH-1-043</t>
  </si>
  <si>
    <t>10:a8:29:b0:71:70</t>
  </si>
  <si>
    <t>AP-LFH-1-044</t>
  </si>
  <si>
    <t>24:16:1b:8f:88:70</t>
  </si>
  <si>
    <t>AP-LFH-1-045</t>
  </si>
  <si>
    <t>24:16:1b:90:f2:a0</t>
  </si>
  <si>
    <t>AP-LFH-1-046</t>
  </si>
  <si>
    <t>24:16:1b:8e:9c:60</t>
  </si>
  <si>
    <t>AP-LFH-1-047</t>
  </si>
  <si>
    <t>10:a8:29:c3:4b:b0</t>
  </si>
  <si>
    <t>AP-LFH-1-048</t>
  </si>
  <si>
    <t>ac:2a:a1:d0:5c:10</t>
  </si>
  <si>
    <t>AP-LFH-1-049</t>
  </si>
  <si>
    <t>ac:2a:a1:d0:6b:10</t>
  </si>
  <si>
    <t>AP-LFH-1-050</t>
  </si>
  <si>
    <t>ac:2a:a1:d0:94:20</t>
  </si>
  <si>
    <t>AP-LFH-1-051</t>
  </si>
  <si>
    <t>10:a8:29:b0:bb:20</t>
  </si>
  <si>
    <t>AP-LFH-1-052</t>
  </si>
  <si>
    <t>24:16:1b:19:7b:80</t>
  </si>
  <si>
    <t>AP-LFH-1-053</t>
  </si>
  <si>
    <t>24:16:1b:1c:15:c0</t>
  </si>
  <si>
    <t>AP-LFH-1-054</t>
  </si>
  <si>
    <t>ac:2a:a1:d0:7c:80</t>
  </si>
  <si>
    <t>AP-LFH-1-055</t>
  </si>
  <si>
    <t>24:16:1b:1c:1a:40</t>
  </si>
  <si>
    <t>AP-LFH-1-056</t>
  </si>
  <si>
    <t>10:a8:29:c3:d3:70</t>
  </si>
  <si>
    <t>AP-LFH-1-057</t>
  </si>
  <si>
    <t>24:16:1b:90:e4:f0</t>
  </si>
  <si>
    <t>AP-LFH-1-058</t>
  </si>
  <si>
    <t>24:16:1b:90:ec:70</t>
  </si>
  <si>
    <t>AP-LFH-1-059</t>
  </si>
  <si>
    <t>ac:2a:a1:d1:4e:80</t>
  </si>
  <si>
    <t>AP-LFH-1-060</t>
  </si>
  <si>
    <t>24:16:1b:90:a7:10</t>
  </si>
  <si>
    <t>AP-LFH-1-061</t>
  </si>
  <si>
    <t>24:16:1b:1f:10:a0</t>
  </si>
  <si>
    <t>AP-LFH-1-062</t>
  </si>
  <si>
    <t>24:16:1b:1e:af:e0</t>
  </si>
  <si>
    <t>AP-LFH-1-063</t>
  </si>
  <si>
    <t>24:16:1b:1e:93:30</t>
  </si>
  <si>
    <t>AP-LFH-1-064</t>
  </si>
  <si>
    <t>24:16:1b:1d:f8:30</t>
  </si>
  <si>
    <t>AP-LFH-1-065</t>
  </si>
  <si>
    <t>24:16:1b:1e:c7:80</t>
  </si>
  <si>
    <t>AP-LFH-1-066</t>
  </si>
  <si>
    <t>24:16:1b:1f:0d:70</t>
  </si>
  <si>
    <t>AP-LFH-1-067</t>
  </si>
  <si>
    <t>24:16:1b:1e:85:20</t>
  </si>
  <si>
    <t>AP-LFH-1-068</t>
  </si>
  <si>
    <t>24:16:1b:1f:1a:60</t>
  </si>
  <si>
    <t>AP-LFH-1-069</t>
  </si>
  <si>
    <t>24:16:1b:1f:20:f0</t>
  </si>
  <si>
    <t>AP-LFH-1-070</t>
  </si>
  <si>
    <t>24:16:1b:1d:84:b0</t>
  </si>
  <si>
    <t>AP-LFH-1-071</t>
  </si>
  <si>
    <t>24:16:1b:1e:da:40</t>
  </si>
  <si>
    <t>AP-LFH-1-072</t>
  </si>
  <si>
    <t>24:16:1b:1e:eb:50</t>
  </si>
  <si>
    <t>AP-LFH-1-073</t>
  </si>
  <si>
    <t>24:16:1b:1f:b6:c0</t>
  </si>
  <si>
    <t>AP-LFH-1-074</t>
  </si>
  <si>
    <t>24:16:1b:1e:79:80</t>
  </si>
  <si>
    <t>AP-LFH-1-075</t>
  </si>
  <si>
    <t>24:16:1b:1f:e0:c0</t>
  </si>
  <si>
    <t>AP-LFH-1-076</t>
  </si>
  <si>
    <t>24:16:1b:91:3e:60</t>
  </si>
  <si>
    <t>AP-LFH-1-077</t>
  </si>
  <si>
    <t>24:16:1b:20:28:b0</t>
  </si>
  <si>
    <t>AP-LFH-1-078</t>
  </si>
  <si>
    <t>24:16:1b:1e:e6:70</t>
  </si>
  <si>
    <t>AP-LFH-1-079</t>
  </si>
  <si>
    <t>24:16:1b:1f:97:a0</t>
  </si>
  <si>
    <t>AP-LFH-1-080</t>
  </si>
  <si>
    <t>24:16:1b:1f:c1:40</t>
  </si>
  <si>
    <t>AP-LFH-1-081</t>
  </si>
  <si>
    <t>24:16:1b:92:cf:c0</t>
  </si>
  <si>
    <t>AP-LFH-1-082</t>
  </si>
  <si>
    <t>24:16:1b:92:96:c0</t>
  </si>
  <si>
    <t>AP-LFH-1-083</t>
  </si>
  <si>
    <t>24:16:1b:92:c9:00</t>
  </si>
  <si>
    <t>AP-LFH-1-084</t>
  </si>
  <si>
    <t>24:16:1b:92:d8:90</t>
  </si>
  <si>
    <t>AP-LFH-1-085</t>
  </si>
  <si>
    <t>24:16:1b:92:31:50</t>
  </si>
  <si>
    <t>AP-LFH-1-086</t>
  </si>
  <si>
    <t>24:16:1b:92:c9:30</t>
  </si>
  <si>
    <t>AP-LFH-1-087</t>
  </si>
  <si>
    <t>24:16:1b:1c:13:20</t>
  </si>
  <si>
    <t>AP-LFH-1-088</t>
  </si>
  <si>
    <t>24:16:1b:96:d9:b0</t>
  </si>
  <si>
    <t>AP-LFH-1-089</t>
  </si>
  <si>
    <t>24:16:1b:92:ff:00</t>
  </si>
  <si>
    <t>AP-LFH-1-090</t>
  </si>
  <si>
    <t>24:16:1b:93:12:50</t>
  </si>
  <si>
    <t>AP-LFH-1-091</t>
  </si>
  <si>
    <t>24:16:1b:93:44:60</t>
  </si>
  <si>
    <t>AP-LFH-1-092</t>
  </si>
  <si>
    <t>24:16:1b:94:7c:e0</t>
  </si>
  <si>
    <t>AP-LFH-1-093</t>
  </si>
  <si>
    <t>24:16:1b:94:67:50</t>
  </si>
  <si>
    <t>AP-LFH-1-094</t>
  </si>
  <si>
    <t>24:16:1b:94:56:40</t>
  </si>
  <si>
    <t>AP-LFH-1-095</t>
  </si>
  <si>
    <t>24:16:1b:8f:37:a0</t>
  </si>
  <si>
    <t>AP-LFH-1-096</t>
  </si>
  <si>
    <t>10:a8:29:fa:3b:40</t>
  </si>
  <si>
    <t>AP-LFH-1-097</t>
  </si>
  <si>
    <t>24:16:1b:94:d2:f0</t>
  </si>
  <si>
    <t>AP-LFH-1-099</t>
  </si>
  <si>
    <t>24:16:1b:94:e9:a0</t>
  </si>
  <si>
    <t>AP-LFH-1-100</t>
  </si>
  <si>
    <t>24:16:1b:93:f3:e0</t>
  </si>
  <si>
    <t>AP-LFH-1-101</t>
  </si>
  <si>
    <t>24:16:1b:97:cf:e0</t>
  </si>
  <si>
    <t>AP-LFH-1-102</t>
  </si>
  <si>
    <t>24:16:1b:97:a3:70</t>
  </si>
  <si>
    <t>AP-LFH-1-103</t>
  </si>
  <si>
    <t>24:16:1b:90:1c:50</t>
  </si>
  <si>
    <t>AP-LFH-1-104</t>
  </si>
  <si>
    <t>24:16:1b:97:6a:40</t>
  </si>
  <si>
    <t>AP-LFH-1-105</t>
  </si>
  <si>
    <t>24:16:1b:97:10:10</t>
  </si>
  <si>
    <t>AP-LFH-1-106</t>
  </si>
  <si>
    <t>24:16:1b:92:7f:20</t>
  </si>
  <si>
    <t>AP-LFH-1-107</t>
  </si>
  <si>
    <t>24:16:1b:92:9a:b0</t>
  </si>
  <si>
    <t>AP-LFH-1-108</t>
  </si>
  <si>
    <t>24:16:1b:96:b6:d0</t>
  </si>
  <si>
    <t>AP-LFH-1-109</t>
  </si>
  <si>
    <t>24:16:1b:92:e1:60</t>
  </si>
  <si>
    <t>AP-LFH-1-110</t>
  </si>
  <si>
    <t>24:16:1b:90:92:10</t>
  </si>
  <si>
    <t>AP-LFH-1-111</t>
  </si>
  <si>
    <t>24:16:1b:1e:e6:40</t>
  </si>
  <si>
    <t>AP-LFH-1-112</t>
  </si>
  <si>
    <t>24:16:1b:1f:f8:30</t>
  </si>
  <si>
    <t>AP-LFH-1-113</t>
  </si>
  <si>
    <t>ac:2a:a1:cc:af:b0</t>
  </si>
  <si>
    <t>AP-LFH-1-114</t>
  </si>
  <si>
    <t>24:16:1b:1f:f9:20</t>
  </si>
  <si>
    <t>AP-LFH-1-115</t>
  </si>
  <si>
    <t>24:16:1b:1f:f5:00</t>
  </si>
  <si>
    <t>AP-LFH-1-116</t>
  </si>
  <si>
    <t>24:16:1b:91:a4:60</t>
  </si>
  <si>
    <t>AP-LFH-1-117</t>
  </si>
  <si>
    <t>24:16:1b:96:46:b0</t>
  </si>
  <si>
    <t>AP-LFH-1-118</t>
  </si>
  <si>
    <t>24:16:1b:90:3f:90</t>
  </si>
  <si>
    <t>AP-LFH-1-119</t>
  </si>
  <si>
    <t>24:16:1b:91:32:90</t>
  </si>
  <si>
    <t>AP-LFH-1-120</t>
  </si>
  <si>
    <t>24:16:1b:20:04:20</t>
  </si>
  <si>
    <t>AP-LFH-1-121</t>
  </si>
  <si>
    <t>24:16:1b:92:b8:80</t>
  </si>
  <si>
    <t>AP-LFH-1-122</t>
  </si>
  <si>
    <t>24:16:1b:93:05:f0</t>
  </si>
  <si>
    <t>AP-LFH-1-123</t>
  </si>
  <si>
    <t>24:16:1b:92:b4:c0</t>
  </si>
  <si>
    <t>AP-LFH-1-124</t>
  </si>
  <si>
    <t>24:16:1b:92:9c:60</t>
  </si>
  <si>
    <t>AP-LFH-1-125</t>
  </si>
  <si>
    <t>24:16:1b:92:b9:40</t>
  </si>
  <si>
    <t>AP-LFH-1-126</t>
  </si>
  <si>
    <t>24:16:1b:92:7e:90</t>
  </si>
  <si>
    <t>AP-LFH-1-127</t>
  </si>
  <si>
    <t>24:16:1b:92:fb:70</t>
  </si>
  <si>
    <t>AP-LFH-1-128</t>
  </si>
  <si>
    <t>24:16:1b:92:d8:30</t>
  </si>
  <si>
    <t>AP-LFH-1-129</t>
  </si>
  <si>
    <t>24:16:1b:92:7f:50</t>
  </si>
  <si>
    <t>AP-LFH-1-130</t>
  </si>
  <si>
    <t>24:16:1b:92:60:90</t>
  </si>
  <si>
    <t>AP-LFH-1-131</t>
  </si>
  <si>
    <t>24:16:1b:20:21:90</t>
  </si>
  <si>
    <t>AP-LFH-1-132</t>
  </si>
  <si>
    <t>24:16:1b:1e:5e:b0</t>
  </si>
  <si>
    <t>AP-LFH-1-133</t>
  </si>
  <si>
    <t>24:16:1b:1f:74:90</t>
  </si>
  <si>
    <t>AP-LFH-1-134</t>
  </si>
  <si>
    <t>24:16:1b:96:24:00</t>
  </si>
  <si>
    <t>AP-LFH-1-135</t>
  </si>
  <si>
    <t>24:16:1b:97:ad:c0</t>
  </si>
  <si>
    <t>AP-LFH-1-136</t>
  </si>
  <si>
    <t>24:16:1b:92:c3:f0</t>
  </si>
  <si>
    <t>AP-LFH-1-137</t>
  </si>
  <si>
    <t>24:16:1b:92:ef:40</t>
  </si>
  <si>
    <t>AP-LFH-1-138</t>
  </si>
  <si>
    <t>24:16:1b:92:ba:c0</t>
  </si>
  <si>
    <t>AP-LFH-1-139</t>
  </si>
  <si>
    <t>24:16:1b:93:22:40</t>
  </si>
  <si>
    <t>AP-LFH-1-140</t>
  </si>
  <si>
    <t>24:16:1b:93:1d:00</t>
  </si>
  <si>
    <t>AP-LFH-1-141</t>
  </si>
  <si>
    <t>24:16:1b:93:2b:a0</t>
  </si>
  <si>
    <t>AP-LFH-1-142</t>
  </si>
  <si>
    <t>24:16:1b:93:40:d0</t>
  </si>
  <si>
    <t>AP-LFH-1-143</t>
  </si>
  <si>
    <t>24:16:1b:92:c4:80</t>
  </si>
  <si>
    <t>AP-LFH-1-144</t>
  </si>
  <si>
    <t>24:16:1b:97:1c:a0</t>
  </si>
  <si>
    <t>AP-LFH-1-145</t>
  </si>
  <si>
    <t>24:16:1b:1f:24:e0</t>
  </si>
  <si>
    <t>AP-LFH-1-146</t>
  </si>
  <si>
    <t>24:16:1b:1d:f6:b0</t>
  </si>
  <si>
    <t>AP-LFH-1-147</t>
  </si>
  <si>
    <t>24:16:1b:1e:18:90</t>
  </si>
  <si>
    <t>AP-LFH-1-148</t>
  </si>
  <si>
    <t>24:16:1b:97:96:50</t>
  </si>
  <si>
    <t>AP-LFH-1-149</t>
  </si>
  <si>
    <t>24:16:1b:1e:2b:80</t>
  </si>
  <si>
    <t>AP-LFH-1-150</t>
  </si>
  <si>
    <t>24:16:1b:1e:b1:60</t>
  </si>
  <si>
    <t>AP-LFH-1-151</t>
  </si>
  <si>
    <t>24:16:1b:1e:c1:b0</t>
  </si>
  <si>
    <t>AP-LFH-1-152</t>
  </si>
  <si>
    <t>24:16:1b:1e:85:50</t>
  </si>
  <si>
    <t>AP-LFH-1-153</t>
  </si>
  <si>
    <t>24:16:1b:1e:e7:00</t>
  </si>
  <si>
    <t>AP-LFH-1-154</t>
  </si>
  <si>
    <t>10:a8:29:b0:3d:b0</t>
  </si>
  <si>
    <t>AP-LFH-1-155</t>
  </si>
  <si>
    <t>ac:2a:a1:d3:fa:10</t>
  </si>
  <si>
    <t>AP-LFH-1-156</t>
  </si>
  <si>
    <t>10:a8:29:b0:3e:40</t>
  </si>
  <si>
    <t>AP-LFH-1-157</t>
  </si>
  <si>
    <t>10:a8:29:b0:83:a0</t>
  </si>
  <si>
    <t>AP-LFH-1-158</t>
  </si>
  <si>
    <t>10:a8:29:b0:0a:b0</t>
  </si>
  <si>
    <t>AP-LFH-1-159</t>
  </si>
  <si>
    <t>ac:2a:a1:d0:b1:f0</t>
  </si>
  <si>
    <t>AP-LFH-1-160</t>
  </si>
  <si>
    <t>10:a8:29:b0:91:e0</t>
  </si>
  <si>
    <t>AP-LFH-1-161</t>
  </si>
  <si>
    <t>10:a8:29:b0:7c:80</t>
  </si>
  <si>
    <t>AP-LFH-1-162</t>
  </si>
  <si>
    <t>ac:2a:a1:d3:eb:40</t>
  </si>
  <si>
    <t>AP-LFH-1-163</t>
  </si>
  <si>
    <t>ac:2a:a1:d1:df:10</t>
  </si>
  <si>
    <t>AP-LFH-1-164</t>
  </si>
  <si>
    <t>48:91:d5:83:18:80</t>
  </si>
  <si>
    <t>AP-LFH-1-165</t>
  </si>
  <si>
    <t>48:91:d5:80:20:70</t>
  </si>
  <si>
    <t>AP-LFH-1-166</t>
  </si>
  <si>
    <t>48:91:d5:84:6e:40</t>
  </si>
  <si>
    <t>AP-LFH-1-167</t>
  </si>
  <si>
    <t>48:91:d5:83:b5:a0</t>
  </si>
  <si>
    <t>AP-LFH-1-168</t>
  </si>
  <si>
    <t>48:91:d5:82:0b:70</t>
  </si>
  <si>
    <t>AP-LFH-1-169</t>
  </si>
  <si>
    <t>48:91:d5:84:69:f0</t>
  </si>
  <si>
    <t>AIR-AP1562I-B-K9</t>
  </si>
  <si>
    <t>AP-LFH-1-OUTDOOR-001</t>
  </si>
  <si>
    <t>70:79:b3:3d:c8:60</t>
  </si>
  <si>
    <t>AP-LFH-1-OUTDOOR-002</t>
  </si>
  <si>
    <t>70:79:b3:3d:bc:a0</t>
  </si>
  <si>
    <t>AP-LFH-1-OUTDOOR-003</t>
  </si>
  <si>
    <t>70:79:b3:3d:ba:00</t>
  </si>
  <si>
    <t>AP-LFH-1-OUTDOOR-004</t>
  </si>
  <si>
    <t>70:79:b3:3d:bd:40</t>
  </si>
  <si>
    <t>AP-LFH-1-OUTDOOR-005</t>
  </si>
  <si>
    <t>70:79:b3:3d:bb:40</t>
  </si>
  <si>
    <t>AP-LFH-1-OUTDOOR-006</t>
  </si>
  <si>
    <t>70:79:b3:3d:b9:e0</t>
  </si>
  <si>
    <t>AP-LFH-1-OUTDOOR-007</t>
  </si>
  <si>
    <t>70:79:b3:3d:bc:80</t>
  </si>
  <si>
    <t>AP-LFH-1-OUTDOOR-008</t>
  </si>
  <si>
    <t>70:79:b3:3d:af:a0</t>
  </si>
  <si>
    <t>PAP</t>
  </si>
  <si>
    <t>AP9136I</t>
  </si>
  <si>
    <t>AP-LFH-1-006</t>
  </si>
  <si>
    <t>24:16:1b:8e:d8:c0</t>
  </si>
  <si>
    <t>m1</t>
  </si>
  <si>
    <t>m2</t>
  </si>
  <si>
    <t>Input Data</t>
  </si>
  <si>
    <t>Old Diagram - Length</t>
  </si>
  <si>
    <t>Old Diagram - Width</t>
  </si>
  <si>
    <t>New Diagram - Reference Point Y coordinate</t>
  </si>
  <si>
    <t>New Diagram - Reference Point X coordinate</t>
  </si>
  <si>
    <t>Old Diagram - Reference Point Y coordinate</t>
  </si>
  <si>
    <t>Old Diagram - Reference Point X coordinate</t>
  </si>
  <si>
    <t>&lt;= Input parameters from Step 1</t>
  </si>
  <si>
    <t>&lt;= Input parameters from Step 2</t>
  </si>
  <si>
    <t>&lt;= Input parameters from Step 4</t>
  </si>
  <si>
    <t>&lt;= Calculated  horizontal translation vector</t>
  </si>
  <si>
    <t>&lt;= Calculated vertical translation vector</t>
  </si>
  <si>
    <t xml:space="preserve">Please verify that the calculated </t>
  </si>
  <si>
    <t xml:space="preserve">reference point coordinates </t>
  </si>
  <si>
    <t xml:space="preserve">match the original reference </t>
  </si>
  <si>
    <t>point coordinates.</t>
  </si>
  <si>
    <t>Please refer to the “How to Update the New AP Coordinates Using the Excel Sheet” PowerPoint slide for detailed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</si>
</sst>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/>
    <xf numFmtId="0" fontId="0" fillId="0" borderId="10" xfId="0" applyBorder="1"/>
    <xf numFmtId="0" fontId="16" fillId="0" borderId="11" xfId="0" applyFont="1" applyBorder="1"/>
    <xf numFmtId="0" fontId="0" fillId="0" borderId="12" xfId="0" applyBorder="1"/>
    <xf numFmtId="0" fontId="0" fillId="0" borderId="13" xfId="0" applyBorder="1"/>
    <xf numFmtId="0" fontId="16" fillId="34" borderId="14" xfId="0" applyFont="1" applyFill="1" applyBorder="1"/>
    <xf numFmtId="0" fontId="0" fillId="0" borderId="15" xfId="0" applyBorder="1"/>
    <xf numFmtId="0" fontId="16" fillId="34" borderId="16" xfId="0" applyFont="1" applyFill="1" applyBorder="1"/>
    <xf numFmtId="0" fontId="19" fillId="33" borderId="16" xfId="0" applyFont="1" applyFill="1" applyBorder="1"/>
    <xf numFmtId="0" fontId="0" fillId="0" borderId="17" xfId="0" applyBorder="1"/>
    <xf numFmtId="0" fontId="19" fillId="33" borderId="18" xfId="0" applyFont="1" applyFill="1" applyBorder="1"/>
    <xf numFmtId="0" fontId="0" fillId="0" borderId="19" xfId="0" applyBorder="1"/>
    <xf numFmtId="0" fontId="18" fillId="33" borderId="27" xfId="0" applyFont="1" applyFill="1" applyBorder="1"/>
    <xf numFmtId="0" fontId="0" fillId="33" borderId="20" xfId="0" applyFill="1" applyBorder="1"/>
    <xf numFmtId="0" fontId="0" fillId="33" borderId="21" xfId="0" applyFill="1" applyBorder="1"/>
    <xf numFmtId="0" fontId="0" fillId="33" borderId="22" xfId="0" applyFill="1" applyBorder="1"/>
    <xf numFmtId="0" fontId="0" fillId="33" borderId="23" xfId="0" applyFill="1" applyBorder="1"/>
    <xf numFmtId="0" fontId="0" fillId="33" borderId="0" xfId="0" applyFill="1" applyBorder="1"/>
    <xf numFmtId="0" fontId="0" fillId="33" borderId="24" xfId="0" applyFill="1" applyBorder="1"/>
    <xf numFmtId="0" fontId="0" fillId="33" borderId="28" xfId="0" applyFill="1" applyBorder="1"/>
    <xf numFmtId="0" fontId="0" fillId="33" borderId="29" xfId="0" applyFill="1" applyBorder="1"/>
    <xf numFmtId="0" fontId="0" fillId="33" borderId="30" xfId="0" applyFill="1" applyBorder="1"/>
    <xf numFmtId="0" fontId="0" fillId="33" borderId="31" xfId="0" applyFill="1" applyBorder="1"/>
    <xf numFmtId="0" fontId="19" fillId="33" borderId="25" xfId="0" applyFont="1" applyFill="1" applyBorder="1"/>
    <xf numFmtId="0" fontId="19" fillId="33" borderId="26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C27D-1E34-454F-9980-217DB497A9A9}">
  <dimension ref="A1:J188"/>
  <sheetViews>
    <sheetView tabSelected="1" zoomScale="150" zoomScaleNormal="150" workbookViewId="0">
      <selection activeCell="E3" sqref="E3"/>
    </sheetView>
  </sheetViews>
  <sheetFormatPr defaultRowHeight="15" x14ac:dyDescent="0.25"/>
  <cols>
    <col min="1" max="1" width="39.5703125" bestFit="1" customWidth="1"/>
    <col min="2" max="2" width="16.28515625" bestFit="1" customWidth="1"/>
    <col min="3" max="3" width="22.7109375" bestFit="1" customWidth="1"/>
    <col min="4" max="4" width="16.85546875" bestFit="1" customWidth="1"/>
    <col min="5" max="5" width="9.42578125" bestFit="1" customWidth="1"/>
    <col min="6" max="6" width="7.28515625" bestFit="1" customWidth="1"/>
    <col min="7" max="8" width="8.42578125" bestFit="1" customWidth="1"/>
    <col min="9" max="9" width="7.28515625" bestFit="1" customWidth="1"/>
    <col min="10" max="10" width="14" customWidth="1"/>
  </cols>
  <sheetData>
    <row r="1" spans="1:10" ht="15.75" thickBot="1" x14ac:dyDescent="0.3">
      <c r="A1" s="3" t="s">
        <v>369</v>
      </c>
      <c r="B1" s="4"/>
      <c r="C1" t="s">
        <v>385</v>
      </c>
    </row>
    <row r="2" spans="1:10" x14ac:dyDescent="0.25">
      <c r="A2" s="5" t="s">
        <v>370</v>
      </c>
      <c r="B2" s="6">
        <v>1329.36</v>
      </c>
      <c r="C2" t="s">
        <v>376</v>
      </c>
    </row>
    <row r="3" spans="1:10" x14ac:dyDescent="0.25">
      <c r="A3" s="7" t="s">
        <v>371</v>
      </c>
      <c r="B3" s="8">
        <v>598.21</v>
      </c>
      <c r="C3" t="s">
        <v>376</v>
      </c>
    </row>
    <row r="4" spans="1:10" ht="15.75" thickBot="1" x14ac:dyDescent="0.3">
      <c r="A4" s="7" t="s">
        <v>375</v>
      </c>
      <c r="B4" s="8">
        <v>328.66</v>
      </c>
      <c r="C4" t="s">
        <v>377</v>
      </c>
    </row>
    <row r="5" spans="1:10" ht="15.75" thickBot="1" x14ac:dyDescent="0.3">
      <c r="A5" s="7" t="s">
        <v>374</v>
      </c>
      <c r="B5" s="8">
        <v>549.41</v>
      </c>
      <c r="C5" t="s">
        <v>377</v>
      </c>
      <c r="H5" s="14" t="s">
        <v>381</v>
      </c>
      <c r="I5" s="15"/>
      <c r="J5" s="16"/>
    </row>
    <row r="6" spans="1:10" ht="15.75" thickTop="1" x14ac:dyDescent="0.25">
      <c r="A6" s="7" t="s">
        <v>373</v>
      </c>
      <c r="B6" s="8">
        <v>1098.5999999999999</v>
      </c>
      <c r="C6" s="20" t="s">
        <v>378</v>
      </c>
      <c r="D6" s="21"/>
      <c r="E6" s="21"/>
      <c r="F6" s="21"/>
      <c r="G6" s="21"/>
      <c r="H6" s="18" t="s">
        <v>382</v>
      </c>
      <c r="I6" s="18"/>
      <c r="J6" s="19"/>
    </row>
    <row r="7" spans="1:10" ht="15.75" thickBot="1" x14ac:dyDescent="0.3">
      <c r="A7" s="7" t="s">
        <v>372</v>
      </c>
      <c r="B7" s="8">
        <v>490.94</v>
      </c>
      <c r="C7" s="22" t="s">
        <v>378</v>
      </c>
      <c r="D7" s="23"/>
      <c r="E7" s="23"/>
      <c r="F7" s="23"/>
      <c r="G7" s="23"/>
      <c r="H7" s="18" t="s">
        <v>383</v>
      </c>
      <c r="I7" s="18"/>
      <c r="J7" s="19"/>
    </row>
    <row r="8" spans="1:10" ht="15.75" thickTop="1" x14ac:dyDescent="0.25">
      <c r="A8" s="7" t="s">
        <v>367</v>
      </c>
      <c r="B8" s="9">
        <f>B6-B2+B5</f>
        <v>318.64999999999998</v>
      </c>
      <c r="C8" t="s">
        <v>379</v>
      </c>
      <c r="H8" s="17" t="s">
        <v>384</v>
      </c>
      <c r="I8" s="18"/>
      <c r="J8" s="19"/>
    </row>
    <row r="9" spans="1:10" ht="15.75" thickBot="1" x14ac:dyDescent="0.3">
      <c r="A9" s="10" t="s">
        <v>368</v>
      </c>
      <c r="B9" s="11">
        <f>B7-B4</f>
        <v>162.27999999999997</v>
      </c>
      <c r="C9" t="s">
        <v>380</v>
      </c>
      <c r="H9" s="17"/>
      <c r="I9" s="18"/>
      <c r="J9" s="19"/>
    </row>
    <row r="10" spans="1:10" x14ac:dyDescent="0.25">
      <c r="H10" s="17"/>
      <c r="I10" s="18"/>
      <c r="J10" s="19"/>
    </row>
    <row r="11" spans="1:10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12" t="s">
        <v>6</v>
      </c>
      <c r="H11" s="7" t="s">
        <v>7</v>
      </c>
      <c r="I11" s="2" t="s">
        <v>8</v>
      </c>
      <c r="J11" s="19"/>
    </row>
    <row r="12" spans="1:10" ht="15.75" thickBot="1" x14ac:dyDescent="0.3">
      <c r="A12" t="s">
        <v>9</v>
      </c>
      <c r="F12">
        <f>B4</f>
        <v>328.66</v>
      </c>
      <c r="G12">
        <f>B5</f>
        <v>549.41</v>
      </c>
      <c r="H12" s="24">
        <f>($B$2-G12)+$B$8</f>
        <v>1098.5999999999999</v>
      </c>
      <c r="I12" s="25">
        <f>F12+$B$9</f>
        <v>490.94</v>
      </c>
      <c r="J12" s="13" t="b">
        <f>IF((B6=H12)*(I12=B7),TRUE,FALSE)</f>
        <v>1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>
        <v>4</v>
      </c>
      <c r="F13">
        <v>354.72</v>
      </c>
      <c r="G13">
        <v>47.77</v>
      </c>
      <c r="H13">
        <f t="shared" ref="H13:H76" si="0">($B$2-G13)+$B$8</f>
        <v>1600.2399999999998</v>
      </c>
      <c r="I13">
        <f t="shared" ref="I13:I76" si="1">F13+$B$9</f>
        <v>517</v>
      </c>
    </row>
    <row r="14" spans="1:10" x14ac:dyDescent="0.25">
      <c r="A14" t="s">
        <v>10</v>
      </c>
      <c r="B14" t="s">
        <v>11</v>
      </c>
      <c r="C14" t="s">
        <v>14</v>
      </c>
      <c r="D14" t="s">
        <v>15</v>
      </c>
      <c r="E14">
        <v>4</v>
      </c>
      <c r="F14">
        <v>294.61</v>
      </c>
      <c r="G14">
        <v>90.11</v>
      </c>
      <c r="H14">
        <f t="shared" si="0"/>
        <v>1557.9</v>
      </c>
      <c r="I14">
        <f t="shared" si="1"/>
        <v>456.89</v>
      </c>
    </row>
    <row r="15" spans="1:10" x14ac:dyDescent="0.25">
      <c r="A15" t="s">
        <v>10</v>
      </c>
      <c r="B15" t="s">
        <v>11</v>
      </c>
      <c r="C15" t="s">
        <v>16</v>
      </c>
      <c r="D15" t="s">
        <v>17</v>
      </c>
      <c r="E15">
        <v>4</v>
      </c>
      <c r="F15">
        <v>354.27</v>
      </c>
      <c r="G15">
        <v>72.33</v>
      </c>
      <c r="H15">
        <f t="shared" si="0"/>
        <v>1575.6799999999998</v>
      </c>
      <c r="I15">
        <f t="shared" si="1"/>
        <v>516.54999999999995</v>
      </c>
    </row>
    <row r="16" spans="1:10" x14ac:dyDescent="0.25">
      <c r="A16" t="s">
        <v>10</v>
      </c>
      <c r="B16" t="s">
        <v>11</v>
      </c>
      <c r="C16" t="s">
        <v>18</v>
      </c>
      <c r="D16" t="s">
        <v>19</v>
      </c>
      <c r="E16">
        <v>4</v>
      </c>
      <c r="F16">
        <v>305.63</v>
      </c>
      <c r="G16">
        <v>122.78</v>
      </c>
      <c r="H16">
        <f t="shared" si="0"/>
        <v>1525.23</v>
      </c>
      <c r="I16">
        <f t="shared" si="1"/>
        <v>467.90999999999997</v>
      </c>
    </row>
    <row r="17" spans="1:9" x14ac:dyDescent="0.25">
      <c r="A17" t="s">
        <v>10</v>
      </c>
      <c r="B17" t="s">
        <v>11</v>
      </c>
      <c r="C17" t="s">
        <v>20</v>
      </c>
      <c r="D17" t="s">
        <v>21</v>
      </c>
      <c r="E17">
        <v>4</v>
      </c>
      <c r="F17">
        <v>350.9</v>
      </c>
      <c r="G17">
        <v>124.35</v>
      </c>
      <c r="H17">
        <f t="shared" si="0"/>
        <v>1523.6599999999999</v>
      </c>
      <c r="I17">
        <f t="shared" si="1"/>
        <v>513.17999999999995</v>
      </c>
    </row>
    <row r="18" spans="1:9" x14ac:dyDescent="0.25">
      <c r="A18" t="s">
        <v>10</v>
      </c>
      <c r="B18" t="s">
        <v>11</v>
      </c>
      <c r="C18" t="s">
        <v>22</v>
      </c>
      <c r="D18" t="s">
        <v>23</v>
      </c>
      <c r="E18">
        <v>4</v>
      </c>
      <c r="F18">
        <v>380.3</v>
      </c>
      <c r="G18">
        <v>129.38</v>
      </c>
      <c r="H18">
        <f t="shared" si="0"/>
        <v>1518.63</v>
      </c>
      <c r="I18">
        <f t="shared" si="1"/>
        <v>542.57999999999993</v>
      </c>
    </row>
    <row r="19" spans="1:9" x14ac:dyDescent="0.25">
      <c r="A19" t="s">
        <v>10</v>
      </c>
      <c r="B19" t="s">
        <v>11</v>
      </c>
      <c r="C19" t="s">
        <v>24</v>
      </c>
      <c r="D19" t="s">
        <v>25</v>
      </c>
      <c r="E19">
        <v>4</v>
      </c>
      <c r="F19">
        <v>334.18</v>
      </c>
      <c r="G19">
        <v>164.52</v>
      </c>
      <c r="H19">
        <f t="shared" si="0"/>
        <v>1483.4899999999998</v>
      </c>
      <c r="I19">
        <f t="shared" si="1"/>
        <v>496.46</v>
      </c>
    </row>
    <row r="20" spans="1:9" x14ac:dyDescent="0.25">
      <c r="A20" t="s">
        <v>10</v>
      </c>
      <c r="B20" t="s">
        <v>11</v>
      </c>
      <c r="C20" t="s">
        <v>26</v>
      </c>
      <c r="D20" t="s">
        <v>27</v>
      </c>
      <c r="E20">
        <v>4</v>
      </c>
      <c r="F20">
        <v>422.22</v>
      </c>
      <c r="G20">
        <v>143.13999999999999</v>
      </c>
      <c r="H20">
        <f t="shared" si="0"/>
        <v>1504.87</v>
      </c>
      <c r="I20">
        <f t="shared" si="1"/>
        <v>584.5</v>
      </c>
    </row>
    <row r="21" spans="1:9" x14ac:dyDescent="0.25">
      <c r="A21" t="s">
        <v>10</v>
      </c>
      <c r="B21" t="s">
        <v>11</v>
      </c>
      <c r="C21" t="s">
        <v>28</v>
      </c>
      <c r="D21" t="s">
        <v>29</v>
      </c>
      <c r="E21">
        <v>4</v>
      </c>
      <c r="F21">
        <v>404.3</v>
      </c>
      <c r="G21">
        <v>159.80000000000001</v>
      </c>
      <c r="H21">
        <f t="shared" si="0"/>
        <v>1488.21</v>
      </c>
      <c r="I21">
        <f t="shared" si="1"/>
        <v>566.57999999999993</v>
      </c>
    </row>
    <row r="22" spans="1:9" x14ac:dyDescent="0.25">
      <c r="A22" t="s">
        <v>10</v>
      </c>
      <c r="B22" t="s">
        <v>11</v>
      </c>
      <c r="C22" t="s">
        <v>30</v>
      </c>
      <c r="D22" t="s">
        <v>31</v>
      </c>
      <c r="E22">
        <v>4</v>
      </c>
      <c r="F22">
        <v>370.03</v>
      </c>
      <c r="G22">
        <v>195.96</v>
      </c>
      <c r="H22">
        <f t="shared" si="0"/>
        <v>1452.0499999999997</v>
      </c>
      <c r="I22">
        <f t="shared" si="1"/>
        <v>532.30999999999995</v>
      </c>
    </row>
    <row r="23" spans="1:9" x14ac:dyDescent="0.25">
      <c r="A23" t="s">
        <v>10</v>
      </c>
      <c r="B23" t="s">
        <v>11</v>
      </c>
      <c r="C23" t="s">
        <v>32</v>
      </c>
      <c r="D23" t="s">
        <v>33</v>
      </c>
      <c r="E23">
        <v>4</v>
      </c>
      <c r="F23">
        <v>449.89</v>
      </c>
      <c r="G23">
        <v>178.66</v>
      </c>
      <c r="H23">
        <f t="shared" si="0"/>
        <v>1469.35</v>
      </c>
      <c r="I23">
        <f t="shared" si="1"/>
        <v>612.16999999999996</v>
      </c>
    </row>
    <row r="24" spans="1:9" x14ac:dyDescent="0.25">
      <c r="A24" t="s">
        <v>10</v>
      </c>
      <c r="B24" t="s">
        <v>11</v>
      </c>
      <c r="C24" t="s">
        <v>34</v>
      </c>
      <c r="D24" t="s">
        <v>35</v>
      </c>
      <c r="E24">
        <v>4</v>
      </c>
      <c r="F24">
        <v>407.13</v>
      </c>
      <c r="G24">
        <v>194.86</v>
      </c>
      <c r="H24">
        <f t="shared" si="0"/>
        <v>1453.15</v>
      </c>
      <c r="I24">
        <f t="shared" si="1"/>
        <v>569.41</v>
      </c>
    </row>
    <row r="25" spans="1:9" x14ac:dyDescent="0.25">
      <c r="A25" t="s">
        <v>10</v>
      </c>
      <c r="B25" t="s">
        <v>11</v>
      </c>
      <c r="C25" t="s">
        <v>36</v>
      </c>
      <c r="D25" t="s">
        <v>37</v>
      </c>
      <c r="E25">
        <v>4</v>
      </c>
      <c r="F25">
        <v>388.58</v>
      </c>
      <c r="G25">
        <v>221.42</v>
      </c>
      <c r="H25">
        <f t="shared" si="0"/>
        <v>1426.5899999999997</v>
      </c>
      <c r="I25">
        <f t="shared" si="1"/>
        <v>550.8599999999999</v>
      </c>
    </row>
    <row r="26" spans="1:9" x14ac:dyDescent="0.25">
      <c r="A26" t="s">
        <v>10</v>
      </c>
      <c r="B26" t="s">
        <v>11</v>
      </c>
      <c r="C26" t="s">
        <v>38</v>
      </c>
      <c r="D26" t="s">
        <v>39</v>
      </c>
      <c r="E26">
        <v>4</v>
      </c>
      <c r="F26">
        <v>415.93</v>
      </c>
      <c r="G26">
        <v>226.93</v>
      </c>
      <c r="H26">
        <f t="shared" si="0"/>
        <v>1421.08</v>
      </c>
      <c r="I26">
        <f t="shared" si="1"/>
        <v>578.21</v>
      </c>
    </row>
    <row r="27" spans="1:9" x14ac:dyDescent="0.25">
      <c r="A27" t="s">
        <v>10</v>
      </c>
      <c r="B27" t="s">
        <v>11</v>
      </c>
      <c r="C27" t="s">
        <v>40</v>
      </c>
      <c r="D27" t="s">
        <v>41</v>
      </c>
      <c r="E27">
        <v>4</v>
      </c>
      <c r="F27">
        <v>453.66</v>
      </c>
      <c r="G27">
        <v>220.95</v>
      </c>
      <c r="H27">
        <f t="shared" si="0"/>
        <v>1427.06</v>
      </c>
      <c r="I27">
        <f t="shared" si="1"/>
        <v>615.94000000000005</v>
      </c>
    </row>
    <row r="28" spans="1:9" x14ac:dyDescent="0.25">
      <c r="A28" t="s">
        <v>10</v>
      </c>
      <c r="B28" t="s">
        <v>11</v>
      </c>
      <c r="C28" t="s">
        <v>42</v>
      </c>
      <c r="D28" t="s">
        <v>43</v>
      </c>
      <c r="E28">
        <v>4</v>
      </c>
      <c r="F28">
        <v>493.28</v>
      </c>
      <c r="G28">
        <v>242.96</v>
      </c>
      <c r="H28">
        <f t="shared" si="0"/>
        <v>1405.0499999999997</v>
      </c>
      <c r="I28">
        <f t="shared" si="1"/>
        <v>655.56</v>
      </c>
    </row>
    <row r="29" spans="1:9" x14ac:dyDescent="0.25">
      <c r="A29" t="s">
        <v>10</v>
      </c>
      <c r="B29" t="s">
        <v>11</v>
      </c>
      <c r="C29" t="s">
        <v>44</v>
      </c>
      <c r="D29" t="s">
        <v>45</v>
      </c>
      <c r="E29">
        <v>4</v>
      </c>
      <c r="F29">
        <v>468.44</v>
      </c>
      <c r="G29">
        <v>266.38</v>
      </c>
      <c r="H29">
        <f t="shared" si="0"/>
        <v>1381.63</v>
      </c>
      <c r="I29">
        <f t="shared" si="1"/>
        <v>630.72</v>
      </c>
    </row>
    <row r="30" spans="1:9" x14ac:dyDescent="0.25">
      <c r="A30" t="s">
        <v>10</v>
      </c>
      <c r="B30" t="s">
        <v>11</v>
      </c>
      <c r="C30" t="s">
        <v>46</v>
      </c>
      <c r="D30" t="s">
        <v>47</v>
      </c>
      <c r="E30">
        <v>4</v>
      </c>
      <c r="F30">
        <v>399.58</v>
      </c>
      <c r="G30">
        <v>297.83</v>
      </c>
      <c r="H30">
        <f t="shared" si="0"/>
        <v>1350.1799999999998</v>
      </c>
      <c r="I30">
        <f t="shared" si="1"/>
        <v>561.8599999999999</v>
      </c>
    </row>
    <row r="31" spans="1:9" x14ac:dyDescent="0.25">
      <c r="A31" t="s">
        <v>10</v>
      </c>
      <c r="B31" t="s">
        <v>11</v>
      </c>
      <c r="C31" t="s">
        <v>48</v>
      </c>
      <c r="D31" t="s">
        <v>49</v>
      </c>
      <c r="E31">
        <v>4</v>
      </c>
      <c r="F31">
        <v>371.44</v>
      </c>
      <c r="G31">
        <v>263.87</v>
      </c>
      <c r="H31">
        <f t="shared" si="0"/>
        <v>1384.1399999999999</v>
      </c>
      <c r="I31">
        <f t="shared" si="1"/>
        <v>533.72</v>
      </c>
    </row>
    <row r="32" spans="1:9" x14ac:dyDescent="0.25">
      <c r="A32" t="s">
        <v>10</v>
      </c>
      <c r="B32" t="s">
        <v>11</v>
      </c>
      <c r="C32" t="s">
        <v>50</v>
      </c>
      <c r="D32" t="s">
        <v>51</v>
      </c>
      <c r="E32">
        <v>4</v>
      </c>
      <c r="F32">
        <v>360.12</v>
      </c>
      <c r="G32">
        <v>243.59</v>
      </c>
      <c r="H32">
        <f t="shared" si="0"/>
        <v>1404.42</v>
      </c>
      <c r="I32">
        <f t="shared" si="1"/>
        <v>522.4</v>
      </c>
    </row>
    <row r="33" spans="1:9" x14ac:dyDescent="0.25">
      <c r="A33" t="s">
        <v>10</v>
      </c>
      <c r="B33" t="s">
        <v>11</v>
      </c>
      <c r="C33" t="s">
        <v>52</v>
      </c>
      <c r="D33" t="s">
        <v>53</v>
      </c>
      <c r="E33">
        <v>4</v>
      </c>
      <c r="F33">
        <v>345.34</v>
      </c>
      <c r="G33">
        <v>228.66</v>
      </c>
      <c r="H33">
        <f t="shared" si="0"/>
        <v>1419.35</v>
      </c>
      <c r="I33">
        <f t="shared" si="1"/>
        <v>507.61999999999995</v>
      </c>
    </row>
    <row r="34" spans="1:9" x14ac:dyDescent="0.25">
      <c r="A34" t="s">
        <v>10</v>
      </c>
      <c r="B34" t="s">
        <v>11</v>
      </c>
      <c r="C34" t="s">
        <v>54</v>
      </c>
      <c r="D34" t="s">
        <v>55</v>
      </c>
      <c r="E34">
        <v>4</v>
      </c>
      <c r="F34">
        <v>308.39999999999998</v>
      </c>
      <c r="G34">
        <v>252.39</v>
      </c>
      <c r="H34">
        <f t="shared" si="0"/>
        <v>1395.62</v>
      </c>
      <c r="I34">
        <f t="shared" si="1"/>
        <v>470.67999999999995</v>
      </c>
    </row>
    <row r="35" spans="1:9" x14ac:dyDescent="0.25">
      <c r="A35" t="s">
        <v>10</v>
      </c>
      <c r="B35" t="s">
        <v>11</v>
      </c>
      <c r="C35" t="s">
        <v>56</v>
      </c>
      <c r="D35" t="s">
        <v>57</v>
      </c>
      <c r="E35">
        <v>4</v>
      </c>
      <c r="F35">
        <v>336.23</v>
      </c>
      <c r="G35">
        <v>284.93</v>
      </c>
      <c r="H35">
        <f t="shared" si="0"/>
        <v>1363.08</v>
      </c>
      <c r="I35">
        <f t="shared" si="1"/>
        <v>498.51</v>
      </c>
    </row>
    <row r="36" spans="1:9" x14ac:dyDescent="0.25">
      <c r="A36" t="s">
        <v>10</v>
      </c>
      <c r="B36" t="s">
        <v>11</v>
      </c>
      <c r="C36" t="s">
        <v>58</v>
      </c>
      <c r="D36" t="s">
        <v>59</v>
      </c>
      <c r="E36">
        <v>4</v>
      </c>
      <c r="F36">
        <v>369.87</v>
      </c>
      <c r="G36">
        <v>299.56</v>
      </c>
      <c r="H36">
        <f t="shared" si="0"/>
        <v>1348.4499999999998</v>
      </c>
      <c r="I36">
        <f t="shared" si="1"/>
        <v>532.15</v>
      </c>
    </row>
    <row r="37" spans="1:9" x14ac:dyDescent="0.25">
      <c r="A37" t="s">
        <v>10</v>
      </c>
      <c r="B37" t="s">
        <v>11</v>
      </c>
      <c r="C37" t="s">
        <v>60</v>
      </c>
      <c r="D37" t="s">
        <v>61</v>
      </c>
      <c r="E37">
        <v>4</v>
      </c>
      <c r="F37">
        <v>364.05</v>
      </c>
      <c r="G37">
        <v>346.09</v>
      </c>
      <c r="H37">
        <f t="shared" si="0"/>
        <v>1301.92</v>
      </c>
      <c r="I37">
        <f t="shared" si="1"/>
        <v>526.32999999999993</v>
      </c>
    </row>
    <row r="38" spans="1:9" x14ac:dyDescent="0.25">
      <c r="A38" t="s">
        <v>10</v>
      </c>
      <c r="B38" t="s">
        <v>11</v>
      </c>
      <c r="C38" t="s">
        <v>62</v>
      </c>
      <c r="D38" t="s">
        <v>63</v>
      </c>
      <c r="E38">
        <v>4</v>
      </c>
      <c r="F38">
        <v>323.95999999999998</v>
      </c>
      <c r="G38">
        <v>325.97000000000003</v>
      </c>
      <c r="H38">
        <f t="shared" si="0"/>
        <v>1322.04</v>
      </c>
      <c r="I38">
        <f t="shared" si="1"/>
        <v>486.23999999999995</v>
      </c>
    </row>
    <row r="39" spans="1:9" x14ac:dyDescent="0.25">
      <c r="A39" t="s">
        <v>10</v>
      </c>
      <c r="B39" t="s">
        <v>11</v>
      </c>
      <c r="C39" t="s">
        <v>64</v>
      </c>
      <c r="D39" t="s">
        <v>65</v>
      </c>
      <c r="E39">
        <v>4</v>
      </c>
      <c r="F39">
        <v>295.2</v>
      </c>
      <c r="G39">
        <v>294.37</v>
      </c>
      <c r="H39">
        <f t="shared" si="0"/>
        <v>1353.6399999999999</v>
      </c>
      <c r="I39">
        <f t="shared" si="1"/>
        <v>457.47999999999996</v>
      </c>
    </row>
    <row r="40" spans="1:9" x14ac:dyDescent="0.25">
      <c r="A40" t="s">
        <v>10</v>
      </c>
      <c r="B40" t="s">
        <v>11</v>
      </c>
      <c r="C40" t="s">
        <v>66</v>
      </c>
      <c r="D40" t="s">
        <v>67</v>
      </c>
      <c r="E40">
        <v>4</v>
      </c>
      <c r="F40">
        <v>252.75</v>
      </c>
      <c r="G40">
        <v>281.95</v>
      </c>
      <c r="H40">
        <f t="shared" si="0"/>
        <v>1366.06</v>
      </c>
      <c r="I40">
        <f t="shared" si="1"/>
        <v>415.03</v>
      </c>
    </row>
    <row r="41" spans="1:9" x14ac:dyDescent="0.25">
      <c r="A41" t="s">
        <v>10</v>
      </c>
      <c r="B41" t="s">
        <v>11</v>
      </c>
      <c r="C41" t="s">
        <v>68</v>
      </c>
      <c r="D41" t="s">
        <v>69</v>
      </c>
      <c r="E41">
        <v>4</v>
      </c>
      <c r="F41">
        <v>241.27</v>
      </c>
      <c r="G41">
        <v>246.42</v>
      </c>
      <c r="H41">
        <f t="shared" si="0"/>
        <v>1401.5899999999997</v>
      </c>
      <c r="I41">
        <f t="shared" si="1"/>
        <v>403.54999999999995</v>
      </c>
    </row>
    <row r="42" spans="1:9" x14ac:dyDescent="0.25">
      <c r="A42" t="s">
        <v>10</v>
      </c>
      <c r="B42" t="s">
        <v>11</v>
      </c>
      <c r="C42" t="s">
        <v>70</v>
      </c>
      <c r="D42" t="s">
        <v>71</v>
      </c>
      <c r="E42">
        <v>4</v>
      </c>
      <c r="F42">
        <v>213.45</v>
      </c>
      <c r="G42">
        <v>226.3</v>
      </c>
      <c r="H42">
        <f t="shared" si="0"/>
        <v>1421.71</v>
      </c>
      <c r="I42">
        <f t="shared" si="1"/>
        <v>375.72999999999996</v>
      </c>
    </row>
    <row r="43" spans="1:9" x14ac:dyDescent="0.25">
      <c r="A43" t="s">
        <v>10</v>
      </c>
      <c r="B43" t="s">
        <v>11</v>
      </c>
      <c r="C43" t="s">
        <v>72</v>
      </c>
      <c r="D43" t="s">
        <v>73</v>
      </c>
      <c r="E43">
        <v>4</v>
      </c>
      <c r="F43">
        <v>171.32</v>
      </c>
      <c r="G43">
        <v>206.33</v>
      </c>
      <c r="H43">
        <f t="shared" si="0"/>
        <v>1441.6799999999998</v>
      </c>
      <c r="I43">
        <f t="shared" si="1"/>
        <v>333.59999999999997</v>
      </c>
    </row>
    <row r="44" spans="1:9" x14ac:dyDescent="0.25">
      <c r="A44" t="s">
        <v>10</v>
      </c>
      <c r="B44" t="s">
        <v>11</v>
      </c>
      <c r="C44" t="s">
        <v>74</v>
      </c>
      <c r="D44" t="s">
        <v>75</v>
      </c>
      <c r="E44">
        <v>4</v>
      </c>
      <c r="F44">
        <v>178.7</v>
      </c>
      <c r="G44">
        <v>252.71</v>
      </c>
      <c r="H44">
        <f t="shared" si="0"/>
        <v>1395.2999999999997</v>
      </c>
      <c r="I44">
        <f t="shared" si="1"/>
        <v>340.97999999999996</v>
      </c>
    </row>
    <row r="45" spans="1:9" x14ac:dyDescent="0.25">
      <c r="A45" t="s">
        <v>10</v>
      </c>
      <c r="B45" t="s">
        <v>11</v>
      </c>
      <c r="C45" t="s">
        <v>76</v>
      </c>
      <c r="D45" t="s">
        <v>77</v>
      </c>
      <c r="E45">
        <v>4</v>
      </c>
      <c r="F45">
        <v>205.9</v>
      </c>
      <c r="G45">
        <v>269.37</v>
      </c>
      <c r="H45">
        <f t="shared" si="0"/>
        <v>1378.6399999999999</v>
      </c>
      <c r="I45">
        <f t="shared" si="1"/>
        <v>368.17999999999995</v>
      </c>
    </row>
    <row r="46" spans="1:9" x14ac:dyDescent="0.25">
      <c r="A46" t="s">
        <v>10</v>
      </c>
      <c r="B46" t="s">
        <v>11</v>
      </c>
      <c r="C46" t="s">
        <v>78</v>
      </c>
      <c r="D46" t="s">
        <v>79</v>
      </c>
      <c r="E46">
        <v>4</v>
      </c>
      <c r="F46">
        <v>129.66</v>
      </c>
      <c r="G46">
        <v>271.73</v>
      </c>
      <c r="H46">
        <f t="shared" si="0"/>
        <v>1376.2799999999997</v>
      </c>
      <c r="I46">
        <f t="shared" si="1"/>
        <v>291.93999999999994</v>
      </c>
    </row>
    <row r="47" spans="1:9" x14ac:dyDescent="0.25">
      <c r="A47" t="s">
        <v>10</v>
      </c>
      <c r="B47" t="s">
        <v>11</v>
      </c>
      <c r="C47" t="s">
        <v>80</v>
      </c>
      <c r="D47" t="s">
        <v>81</v>
      </c>
      <c r="E47">
        <v>4</v>
      </c>
      <c r="F47">
        <v>164.87</v>
      </c>
      <c r="G47">
        <v>298.14</v>
      </c>
      <c r="H47">
        <f t="shared" si="0"/>
        <v>1349.87</v>
      </c>
      <c r="I47">
        <f t="shared" si="1"/>
        <v>327.14999999999998</v>
      </c>
    </row>
    <row r="48" spans="1:9" x14ac:dyDescent="0.25">
      <c r="A48" t="s">
        <v>10</v>
      </c>
      <c r="B48" t="s">
        <v>11</v>
      </c>
      <c r="C48" t="s">
        <v>82</v>
      </c>
      <c r="D48" t="s">
        <v>83</v>
      </c>
      <c r="E48">
        <v>4</v>
      </c>
      <c r="F48">
        <v>193.17</v>
      </c>
      <c r="G48">
        <v>317</v>
      </c>
      <c r="H48">
        <f t="shared" si="0"/>
        <v>1331.0099999999998</v>
      </c>
      <c r="I48">
        <f t="shared" si="1"/>
        <v>355.44999999999993</v>
      </c>
    </row>
    <row r="49" spans="1:9" x14ac:dyDescent="0.25">
      <c r="A49" t="s">
        <v>10</v>
      </c>
      <c r="B49" t="s">
        <v>11</v>
      </c>
      <c r="C49" t="s">
        <v>84</v>
      </c>
      <c r="D49" t="s">
        <v>85</v>
      </c>
      <c r="E49">
        <v>4</v>
      </c>
      <c r="F49">
        <v>239.86</v>
      </c>
      <c r="G49">
        <v>305.20999999999998</v>
      </c>
      <c r="H49">
        <f t="shared" si="0"/>
        <v>1342.7999999999997</v>
      </c>
      <c r="I49">
        <f t="shared" si="1"/>
        <v>402.14</v>
      </c>
    </row>
    <row r="50" spans="1:9" x14ac:dyDescent="0.25">
      <c r="A50" t="s">
        <v>10</v>
      </c>
      <c r="B50" t="s">
        <v>11</v>
      </c>
      <c r="C50" t="s">
        <v>86</v>
      </c>
      <c r="D50" t="s">
        <v>87</v>
      </c>
      <c r="E50">
        <v>4</v>
      </c>
      <c r="F50">
        <v>280.26</v>
      </c>
      <c r="G50">
        <v>341.53</v>
      </c>
      <c r="H50">
        <f t="shared" si="0"/>
        <v>1306.48</v>
      </c>
      <c r="I50">
        <f t="shared" si="1"/>
        <v>442.53999999999996</v>
      </c>
    </row>
    <row r="51" spans="1:9" x14ac:dyDescent="0.25">
      <c r="A51" t="s">
        <v>10</v>
      </c>
      <c r="B51" t="s">
        <v>11</v>
      </c>
      <c r="C51" t="s">
        <v>88</v>
      </c>
      <c r="D51" t="s">
        <v>89</v>
      </c>
      <c r="E51">
        <v>4</v>
      </c>
      <c r="F51">
        <v>247.4</v>
      </c>
      <c r="G51">
        <v>346.25</v>
      </c>
      <c r="H51">
        <f t="shared" si="0"/>
        <v>1301.7599999999998</v>
      </c>
      <c r="I51">
        <f t="shared" si="1"/>
        <v>409.67999999999995</v>
      </c>
    </row>
    <row r="52" spans="1:9" x14ac:dyDescent="0.25">
      <c r="A52" t="s">
        <v>10</v>
      </c>
      <c r="B52" t="s">
        <v>11</v>
      </c>
      <c r="C52" t="s">
        <v>90</v>
      </c>
      <c r="D52" t="s">
        <v>91</v>
      </c>
      <c r="E52">
        <v>4</v>
      </c>
      <c r="F52">
        <v>308.08999999999997</v>
      </c>
      <c r="G52">
        <v>352.06</v>
      </c>
      <c r="H52">
        <f t="shared" si="0"/>
        <v>1295.9499999999998</v>
      </c>
      <c r="I52">
        <f t="shared" si="1"/>
        <v>470.36999999999995</v>
      </c>
    </row>
    <row r="53" spans="1:9" x14ac:dyDescent="0.25">
      <c r="A53" t="s">
        <v>10</v>
      </c>
      <c r="B53" t="s">
        <v>11</v>
      </c>
      <c r="C53" t="s">
        <v>92</v>
      </c>
      <c r="D53" t="s">
        <v>93</v>
      </c>
      <c r="E53">
        <v>4</v>
      </c>
      <c r="F53">
        <v>280.89</v>
      </c>
      <c r="G53">
        <v>400.64</v>
      </c>
      <c r="H53">
        <f t="shared" si="0"/>
        <v>1247.3699999999999</v>
      </c>
      <c r="I53">
        <f t="shared" si="1"/>
        <v>443.16999999999996</v>
      </c>
    </row>
    <row r="54" spans="1:9" x14ac:dyDescent="0.25">
      <c r="A54" t="s">
        <v>10</v>
      </c>
      <c r="B54" t="s">
        <v>11</v>
      </c>
      <c r="C54" t="s">
        <v>94</v>
      </c>
      <c r="D54" t="s">
        <v>95</v>
      </c>
      <c r="E54">
        <v>4</v>
      </c>
      <c r="F54">
        <v>241.9</v>
      </c>
      <c r="G54">
        <v>389.48</v>
      </c>
      <c r="H54">
        <f t="shared" si="0"/>
        <v>1258.5299999999997</v>
      </c>
      <c r="I54">
        <f t="shared" si="1"/>
        <v>404.17999999999995</v>
      </c>
    </row>
    <row r="55" spans="1:9" x14ac:dyDescent="0.25">
      <c r="A55" t="s">
        <v>10</v>
      </c>
      <c r="B55" t="s">
        <v>11</v>
      </c>
      <c r="C55" t="s">
        <v>96</v>
      </c>
      <c r="D55" t="s">
        <v>97</v>
      </c>
      <c r="E55">
        <v>4</v>
      </c>
      <c r="F55">
        <v>203.86</v>
      </c>
      <c r="G55">
        <v>429.09</v>
      </c>
      <c r="H55">
        <f t="shared" si="0"/>
        <v>1218.92</v>
      </c>
      <c r="I55">
        <f t="shared" si="1"/>
        <v>366.14</v>
      </c>
    </row>
    <row r="56" spans="1:9" x14ac:dyDescent="0.25">
      <c r="A56" t="s">
        <v>10</v>
      </c>
      <c r="B56" t="s">
        <v>11</v>
      </c>
      <c r="C56" t="s">
        <v>98</v>
      </c>
      <c r="D56" t="s">
        <v>99</v>
      </c>
      <c r="E56">
        <v>4</v>
      </c>
      <c r="F56">
        <v>284.98</v>
      </c>
      <c r="G56">
        <v>447.8</v>
      </c>
      <c r="H56">
        <f t="shared" si="0"/>
        <v>1200.21</v>
      </c>
      <c r="I56">
        <f t="shared" si="1"/>
        <v>447.26</v>
      </c>
    </row>
    <row r="57" spans="1:9" x14ac:dyDescent="0.25">
      <c r="A57" t="s">
        <v>10</v>
      </c>
      <c r="B57" t="s">
        <v>11</v>
      </c>
      <c r="C57" t="s">
        <v>100</v>
      </c>
      <c r="D57" t="s">
        <v>101</v>
      </c>
      <c r="E57">
        <v>4</v>
      </c>
      <c r="F57">
        <v>165.5</v>
      </c>
      <c r="G57">
        <v>472.17</v>
      </c>
      <c r="H57">
        <f t="shared" si="0"/>
        <v>1175.8399999999997</v>
      </c>
      <c r="I57">
        <f t="shared" si="1"/>
        <v>327.78</v>
      </c>
    </row>
    <row r="58" spans="1:9" x14ac:dyDescent="0.25">
      <c r="A58" t="s">
        <v>10</v>
      </c>
      <c r="B58" t="s">
        <v>11</v>
      </c>
      <c r="C58" t="s">
        <v>102</v>
      </c>
      <c r="D58" t="s">
        <v>103</v>
      </c>
      <c r="E58">
        <v>4</v>
      </c>
      <c r="F58">
        <v>238.44</v>
      </c>
      <c r="G58">
        <v>500.62</v>
      </c>
      <c r="H58">
        <f t="shared" si="0"/>
        <v>1147.3899999999999</v>
      </c>
      <c r="I58">
        <f t="shared" si="1"/>
        <v>400.71999999999997</v>
      </c>
    </row>
    <row r="59" spans="1:9" x14ac:dyDescent="0.25">
      <c r="A59" t="s">
        <v>10</v>
      </c>
      <c r="B59" t="s">
        <v>11</v>
      </c>
      <c r="C59" t="s">
        <v>104</v>
      </c>
      <c r="D59" t="s">
        <v>105</v>
      </c>
      <c r="E59">
        <v>4</v>
      </c>
      <c r="F59">
        <v>263.60000000000002</v>
      </c>
      <c r="G59">
        <v>515.55999999999995</v>
      </c>
      <c r="H59">
        <f t="shared" si="0"/>
        <v>1132.4499999999998</v>
      </c>
      <c r="I59">
        <f t="shared" si="1"/>
        <v>425.88</v>
      </c>
    </row>
    <row r="60" spans="1:9" x14ac:dyDescent="0.25">
      <c r="A60" t="s">
        <v>10</v>
      </c>
      <c r="B60" t="s">
        <v>11</v>
      </c>
      <c r="C60" t="s">
        <v>106</v>
      </c>
      <c r="D60" t="s">
        <v>107</v>
      </c>
      <c r="E60">
        <v>4</v>
      </c>
      <c r="F60">
        <v>253.06</v>
      </c>
      <c r="G60">
        <v>536.62</v>
      </c>
      <c r="H60">
        <f t="shared" si="0"/>
        <v>1111.3899999999999</v>
      </c>
      <c r="I60">
        <f t="shared" si="1"/>
        <v>415.34</v>
      </c>
    </row>
    <row r="61" spans="1:9" x14ac:dyDescent="0.25">
      <c r="A61" t="s">
        <v>10</v>
      </c>
      <c r="B61" t="s">
        <v>11</v>
      </c>
      <c r="C61" t="s">
        <v>108</v>
      </c>
      <c r="D61" t="s">
        <v>109</v>
      </c>
      <c r="E61">
        <v>4</v>
      </c>
      <c r="F61">
        <v>183.42</v>
      </c>
      <c r="G61">
        <v>516.66</v>
      </c>
      <c r="H61">
        <f t="shared" si="0"/>
        <v>1131.3499999999999</v>
      </c>
      <c r="I61">
        <f t="shared" si="1"/>
        <v>345.69999999999993</v>
      </c>
    </row>
    <row r="62" spans="1:9" x14ac:dyDescent="0.25">
      <c r="A62" t="s">
        <v>10</v>
      </c>
      <c r="B62" t="s">
        <v>11</v>
      </c>
      <c r="C62" t="s">
        <v>110</v>
      </c>
      <c r="D62" t="s">
        <v>111</v>
      </c>
      <c r="E62">
        <v>4</v>
      </c>
      <c r="F62">
        <v>199.93</v>
      </c>
      <c r="G62">
        <v>531.42999999999995</v>
      </c>
      <c r="H62">
        <f t="shared" si="0"/>
        <v>1116.58</v>
      </c>
      <c r="I62">
        <f t="shared" si="1"/>
        <v>362.21</v>
      </c>
    </row>
    <row r="63" spans="1:9" x14ac:dyDescent="0.25">
      <c r="A63" t="s">
        <v>10</v>
      </c>
      <c r="B63" t="s">
        <v>11</v>
      </c>
      <c r="C63" t="s">
        <v>112</v>
      </c>
      <c r="D63" t="s">
        <v>113</v>
      </c>
      <c r="E63">
        <v>4</v>
      </c>
      <c r="F63">
        <v>177.6</v>
      </c>
      <c r="G63">
        <v>557.84</v>
      </c>
      <c r="H63">
        <f t="shared" si="0"/>
        <v>1090.1699999999998</v>
      </c>
      <c r="I63">
        <f t="shared" si="1"/>
        <v>339.88</v>
      </c>
    </row>
    <row r="64" spans="1:9" x14ac:dyDescent="0.25">
      <c r="A64" t="s">
        <v>10</v>
      </c>
      <c r="B64" t="s">
        <v>11</v>
      </c>
      <c r="C64" t="s">
        <v>114</v>
      </c>
      <c r="D64" t="s">
        <v>115</v>
      </c>
      <c r="E64">
        <v>4</v>
      </c>
      <c r="F64">
        <v>231.37</v>
      </c>
      <c r="G64">
        <v>555.96</v>
      </c>
      <c r="H64">
        <f t="shared" si="0"/>
        <v>1092.0499999999997</v>
      </c>
      <c r="I64">
        <f t="shared" si="1"/>
        <v>393.65</v>
      </c>
    </row>
    <row r="65" spans="1:9" x14ac:dyDescent="0.25">
      <c r="A65" t="s">
        <v>10</v>
      </c>
      <c r="B65" t="s">
        <v>11</v>
      </c>
      <c r="C65" t="s">
        <v>116</v>
      </c>
      <c r="D65" t="s">
        <v>117</v>
      </c>
      <c r="E65">
        <v>4</v>
      </c>
      <c r="F65">
        <v>275.7</v>
      </c>
      <c r="G65">
        <v>551.08000000000004</v>
      </c>
      <c r="H65">
        <f t="shared" si="0"/>
        <v>1096.9299999999998</v>
      </c>
      <c r="I65">
        <f t="shared" si="1"/>
        <v>437.97999999999996</v>
      </c>
    </row>
    <row r="66" spans="1:9" x14ac:dyDescent="0.25">
      <c r="A66" t="s">
        <v>10</v>
      </c>
      <c r="B66" t="s">
        <v>11</v>
      </c>
      <c r="C66" t="s">
        <v>118</v>
      </c>
      <c r="D66" t="s">
        <v>119</v>
      </c>
      <c r="E66">
        <v>4</v>
      </c>
      <c r="F66">
        <v>273.02999999999997</v>
      </c>
      <c r="G66">
        <v>605.95000000000005</v>
      </c>
      <c r="H66">
        <f t="shared" si="0"/>
        <v>1042.06</v>
      </c>
      <c r="I66">
        <f t="shared" si="1"/>
        <v>435.30999999999995</v>
      </c>
    </row>
    <row r="67" spans="1:9" x14ac:dyDescent="0.25">
      <c r="A67" t="s">
        <v>10</v>
      </c>
      <c r="B67" t="s">
        <v>11</v>
      </c>
      <c r="C67" t="s">
        <v>120</v>
      </c>
      <c r="D67" t="s">
        <v>121</v>
      </c>
      <c r="E67">
        <v>4</v>
      </c>
      <c r="F67">
        <v>247.25</v>
      </c>
      <c r="G67">
        <v>590.86</v>
      </c>
      <c r="H67">
        <f t="shared" si="0"/>
        <v>1057.1499999999999</v>
      </c>
      <c r="I67">
        <f t="shared" si="1"/>
        <v>409.53</v>
      </c>
    </row>
    <row r="68" spans="1:9" x14ac:dyDescent="0.25">
      <c r="A68" t="s">
        <v>10</v>
      </c>
      <c r="B68" t="s">
        <v>11</v>
      </c>
      <c r="C68" t="s">
        <v>122</v>
      </c>
      <c r="D68" t="s">
        <v>123</v>
      </c>
      <c r="E68">
        <v>4</v>
      </c>
      <c r="F68">
        <v>205.9</v>
      </c>
      <c r="G68">
        <v>602.02</v>
      </c>
      <c r="H68">
        <f t="shared" si="0"/>
        <v>1045.9899999999998</v>
      </c>
      <c r="I68">
        <f t="shared" si="1"/>
        <v>368.17999999999995</v>
      </c>
    </row>
    <row r="69" spans="1:9" x14ac:dyDescent="0.25">
      <c r="A69" t="s">
        <v>10</v>
      </c>
      <c r="B69" t="s">
        <v>11</v>
      </c>
      <c r="C69" t="s">
        <v>124</v>
      </c>
      <c r="D69" t="s">
        <v>125</v>
      </c>
      <c r="E69">
        <v>4</v>
      </c>
      <c r="F69">
        <v>178.86</v>
      </c>
      <c r="G69">
        <v>598.4</v>
      </c>
      <c r="H69">
        <f t="shared" si="0"/>
        <v>1049.6099999999999</v>
      </c>
      <c r="I69">
        <f t="shared" si="1"/>
        <v>341.14</v>
      </c>
    </row>
    <row r="70" spans="1:9" x14ac:dyDescent="0.25">
      <c r="A70" t="s">
        <v>10</v>
      </c>
      <c r="B70" t="s">
        <v>11</v>
      </c>
      <c r="C70" t="s">
        <v>126</v>
      </c>
      <c r="D70" t="s">
        <v>127</v>
      </c>
      <c r="E70">
        <v>4</v>
      </c>
      <c r="F70">
        <v>152.91999999999999</v>
      </c>
      <c r="G70">
        <v>623.55999999999995</v>
      </c>
      <c r="H70">
        <f t="shared" si="0"/>
        <v>1024.4499999999998</v>
      </c>
      <c r="I70">
        <f t="shared" si="1"/>
        <v>315.19999999999993</v>
      </c>
    </row>
    <row r="71" spans="1:9" x14ac:dyDescent="0.25">
      <c r="A71" t="s">
        <v>10</v>
      </c>
      <c r="B71" t="s">
        <v>11</v>
      </c>
      <c r="C71" t="s">
        <v>128</v>
      </c>
      <c r="D71" t="s">
        <v>129</v>
      </c>
      <c r="E71">
        <v>4</v>
      </c>
      <c r="F71">
        <v>129.97</v>
      </c>
      <c r="G71">
        <v>590.39</v>
      </c>
      <c r="H71">
        <f t="shared" si="0"/>
        <v>1057.6199999999999</v>
      </c>
      <c r="I71">
        <f t="shared" si="1"/>
        <v>292.25</v>
      </c>
    </row>
    <row r="72" spans="1:9" x14ac:dyDescent="0.25">
      <c r="A72" t="s">
        <v>10</v>
      </c>
      <c r="B72" t="s">
        <v>11</v>
      </c>
      <c r="C72" t="s">
        <v>130</v>
      </c>
      <c r="D72" t="s">
        <v>131</v>
      </c>
      <c r="E72">
        <v>4</v>
      </c>
      <c r="F72">
        <v>115.04</v>
      </c>
      <c r="G72">
        <v>624.03</v>
      </c>
      <c r="H72">
        <f t="shared" si="0"/>
        <v>1023.9799999999999</v>
      </c>
      <c r="I72">
        <f t="shared" si="1"/>
        <v>277.32</v>
      </c>
    </row>
    <row r="73" spans="1:9" x14ac:dyDescent="0.25">
      <c r="A73" t="s">
        <v>10</v>
      </c>
      <c r="B73" t="s">
        <v>11</v>
      </c>
      <c r="C73" t="s">
        <v>132</v>
      </c>
      <c r="D73" t="s">
        <v>133</v>
      </c>
      <c r="E73">
        <v>4</v>
      </c>
      <c r="F73">
        <v>83.12</v>
      </c>
      <c r="G73">
        <v>593.37</v>
      </c>
      <c r="H73">
        <f t="shared" si="0"/>
        <v>1054.6399999999999</v>
      </c>
      <c r="I73">
        <f t="shared" si="1"/>
        <v>245.39999999999998</v>
      </c>
    </row>
    <row r="74" spans="1:9" x14ac:dyDescent="0.25">
      <c r="A74" t="s">
        <v>10</v>
      </c>
      <c r="B74" t="s">
        <v>11</v>
      </c>
      <c r="C74" t="s">
        <v>134</v>
      </c>
      <c r="D74" t="s">
        <v>135</v>
      </c>
      <c r="E74">
        <v>4</v>
      </c>
      <c r="F74">
        <v>38.159999999999997</v>
      </c>
      <c r="G74">
        <v>595.1</v>
      </c>
      <c r="H74">
        <f t="shared" si="0"/>
        <v>1052.9099999999999</v>
      </c>
      <c r="I74">
        <f t="shared" si="1"/>
        <v>200.43999999999997</v>
      </c>
    </row>
    <row r="75" spans="1:9" x14ac:dyDescent="0.25">
      <c r="A75" t="s">
        <v>10</v>
      </c>
      <c r="B75" t="s">
        <v>11</v>
      </c>
      <c r="C75" t="s">
        <v>136</v>
      </c>
      <c r="D75" t="s">
        <v>137</v>
      </c>
      <c r="E75">
        <v>4</v>
      </c>
      <c r="F75">
        <v>63.32</v>
      </c>
      <c r="G75">
        <v>625.6</v>
      </c>
      <c r="H75">
        <f t="shared" si="0"/>
        <v>1022.4099999999999</v>
      </c>
      <c r="I75">
        <f t="shared" si="1"/>
        <v>225.59999999999997</v>
      </c>
    </row>
    <row r="76" spans="1:9" x14ac:dyDescent="0.25">
      <c r="A76" t="s">
        <v>10</v>
      </c>
      <c r="B76" t="s">
        <v>11</v>
      </c>
      <c r="C76" t="s">
        <v>138</v>
      </c>
      <c r="D76" t="s">
        <v>139</v>
      </c>
      <c r="E76">
        <v>4</v>
      </c>
      <c r="F76">
        <v>41.62</v>
      </c>
      <c r="G76">
        <v>664.74</v>
      </c>
      <c r="H76">
        <f t="shared" si="0"/>
        <v>983.26999999999987</v>
      </c>
      <c r="I76">
        <f t="shared" si="1"/>
        <v>203.89999999999998</v>
      </c>
    </row>
    <row r="77" spans="1:9" x14ac:dyDescent="0.25">
      <c r="A77" t="s">
        <v>10</v>
      </c>
      <c r="B77" t="s">
        <v>11</v>
      </c>
      <c r="C77" t="s">
        <v>140</v>
      </c>
      <c r="D77" t="s">
        <v>141</v>
      </c>
      <c r="E77">
        <v>4</v>
      </c>
      <c r="F77">
        <v>74.319999999999993</v>
      </c>
      <c r="G77">
        <v>651.54</v>
      </c>
      <c r="H77">
        <f t="shared" ref="H77:H140" si="2">($B$2-G77)+$B$8</f>
        <v>996.46999999999991</v>
      </c>
      <c r="I77">
        <f t="shared" ref="I77:I140" si="3">F77+$B$9</f>
        <v>236.59999999999997</v>
      </c>
    </row>
    <row r="78" spans="1:9" x14ac:dyDescent="0.25">
      <c r="A78" t="s">
        <v>10</v>
      </c>
      <c r="B78" t="s">
        <v>11</v>
      </c>
      <c r="C78" t="s">
        <v>142</v>
      </c>
      <c r="D78" t="s">
        <v>143</v>
      </c>
      <c r="E78">
        <v>4</v>
      </c>
      <c r="F78">
        <v>73.69</v>
      </c>
      <c r="G78">
        <v>681.72</v>
      </c>
      <c r="H78">
        <f t="shared" si="2"/>
        <v>966.28999999999985</v>
      </c>
      <c r="I78">
        <f t="shared" si="3"/>
        <v>235.96999999999997</v>
      </c>
    </row>
    <row r="79" spans="1:9" x14ac:dyDescent="0.25">
      <c r="A79" t="s">
        <v>10</v>
      </c>
      <c r="B79" t="s">
        <v>11</v>
      </c>
      <c r="C79" t="s">
        <v>144</v>
      </c>
      <c r="D79" t="s">
        <v>145</v>
      </c>
      <c r="E79">
        <v>4</v>
      </c>
      <c r="F79">
        <v>104.19</v>
      </c>
      <c r="G79">
        <v>673.86</v>
      </c>
      <c r="H79">
        <f t="shared" si="2"/>
        <v>974.14999999999986</v>
      </c>
      <c r="I79">
        <f t="shared" si="3"/>
        <v>266.46999999999997</v>
      </c>
    </row>
    <row r="80" spans="1:9" x14ac:dyDescent="0.25">
      <c r="A80" t="s">
        <v>10</v>
      </c>
      <c r="B80" t="s">
        <v>11</v>
      </c>
      <c r="C80" t="s">
        <v>146</v>
      </c>
      <c r="D80" t="s">
        <v>147</v>
      </c>
      <c r="E80">
        <v>4</v>
      </c>
      <c r="F80">
        <v>84.22</v>
      </c>
      <c r="G80">
        <v>705.77</v>
      </c>
      <c r="H80">
        <f t="shared" si="2"/>
        <v>942.2399999999999</v>
      </c>
      <c r="I80">
        <f t="shared" si="3"/>
        <v>246.49999999999997</v>
      </c>
    </row>
    <row r="81" spans="1:9" x14ac:dyDescent="0.25">
      <c r="A81" t="s">
        <v>10</v>
      </c>
      <c r="B81" t="s">
        <v>11</v>
      </c>
      <c r="C81" t="s">
        <v>148</v>
      </c>
      <c r="D81" t="s">
        <v>149</v>
      </c>
      <c r="E81">
        <v>4</v>
      </c>
      <c r="F81">
        <v>119.91</v>
      </c>
      <c r="G81">
        <v>701.06</v>
      </c>
      <c r="H81">
        <f t="shared" si="2"/>
        <v>946.94999999999993</v>
      </c>
      <c r="I81">
        <f t="shared" si="3"/>
        <v>282.18999999999994</v>
      </c>
    </row>
    <row r="82" spans="1:9" x14ac:dyDescent="0.25">
      <c r="A82" t="s">
        <v>10</v>
      </c>
      <c r="B82" t="s">
        <v>11</v>
      </c>
      <c r="C82" t="s">
        <v>150</v>
      </c>
      <c r="D82" t="s">
        <v>151</v>
      </c>
      <c r="E82">
        <v>4</v>
      </c>
      <c r="F82">
        <v>90.98</v>
      </c>
      <c r="G82">
        <v>740.99</v>
      </c>
      <c r="H82">
        <f t="shared" si="2"/>
        <v>907.01999999999987</v>
      </c>
      <c r="I82">
        <f t="shared" si="3"/>
        <v>253.26</v>
      </c>
    </row>
    <row r="83" spans="1:9" x14ac:dyDescent="0.25">
      <c r="A83" t="s">
        <v>10</v>
      </c>
      <c r="B83" t="s">
        <v>11</v>
      </c>
      <c r="C83" t="s">
        <v>152</v>
      </c>
      <c r="D83" t="s">
        <v>153</v>
      </c>
      <c r="E83">
        <v>4</v>
      </c>
      <c r="F83">
        <v>120.85</v>
      </c>
      <c r="G83">
        <v>731.08</v>
      </c>
      <c r="H83">
        <f t="shared" si="2"/>
        <v>916.92999999999984</v>
      </c>
      <c r="I83">
        <f t="shared" si="3"/>
        <v>283.13</v>
      </c>
    </row>
    <row r="84" spans="1:9" x14ac:dyDescent="0.25">
      <c r="A84" t="s">
        <v>10</v>
      </c>
      <c r="B84" t="s">
        <v>11</v>
      </c>
      <c r="C84" t="s">
        <v>154</v>
      </c>
      <c r="D84" t="s">
        <v>155</v>
      </c>
      <c r="E84">
        <v>4</v>
      </c>
      <c r="F84">
        <v>99</v>
      </c>
      <c r="G84">
        <v>774.94</v>
      </c>
      <c r="H84">
        <f t="shared" si="2"/>
        <v>873.06999999999982</v>
      </c>
      <c r="I84">
        <f t="shared" si="3"/>
        <v>261.27999999999997</v>
      </c>
    </row>
    <row r="85" spans="1:9" x14ac:dyDescent="0.25">
      <c r="A85" t="s">
        <v>10</v>
      </c>
      <c r="B85" t="s">
        <v>11</v>
      </c>
      <c r="C85" t="s">
        <v>156</v>
      </c>
      <c r="D85" t="s">
        <v>157</v>
      </c>
      <c r="E85">
        <v>4</v>
      </c>
      <c r="F85">
        <v>124.78</v>
      </c>
      <c r="G85">
        <v>760.17</v>
      </c>
      <c r="H85">
        <f t="shared" si="2"/>
        <v>887.83999999999992</v>
      </c>
      <c r="I85">
        <f t="shared" si="3"/>
        <v>287.05999999999995</v>
      </c>
    </row>
    <row r="86" spans="1:9" x14ac:dyDescent="0.25">
      <c r="A86" t="s">
        <v>10</v>
      </c>
      <c r="B86" t="s">
        <v>11</v>
      </c>
      <c r="C86" t="s">
        <v>158</v>
      </c>
      <c r="D86" t="s">
        <v>159</v>
      </c>
      <c r="E86">
        <v>4</v>
      </c>
      <c r="F86">
        <v>142.38999999999999</v>
      </c>
      <c r="G86">
        <v>791.29</v>
      </c>
      <c r="H86">
        <f t="shared" si="2"/>
        <v>856.71999999999991</v>
      </c>
      <c r="I86">
        <f t="shared" si="3"/>
        <v>304.66999999999996</v>
      </c>
    </row>
    <row r="87" spans="1:9" x14ac:dyDescent="0.25">
      <c r="A87" t="s">
        <v>10</v>
      </c>
      <c r="B87" t="s">
        <v>11</v>
      </c>
      <c r="C87" t="s">
        <v>160</v>
      </c>
      <c r="D87" t="s">
        <v>161</v>
      </c>
      <c r="E87">
        <v>4</v>
      </c>
      <c r="F87">
        <v>113.62</v>
      </c>
      <c r="G87">
        <v>813.15</v>
      </c>
      <c r="H87">
        <f t="shared" si="2"/>
        <v>834.8599999999999</v>
      </c>
      <c r="I87">
        <f t="shared" si="3"/>
        <v>275.89999999999998</v>
      </c>
    </row>
    <row r="88" spans="1:9" x14ac:dyDescent="0.25">
      <c r="A88" t="s">
        <v>10</v>
      </c>
      <c r="B88" t="s">
        <v>11</v>
      </c>
      <c r="C88" t="s">
        <v>162</v>
      </c>
      <c r="D88" t="s">
        <v>163</v>
      </c>
      <c r="E88">
        <v>4</v>
      </c>
      <c r="F88">
        <v>83.44</v>
      </c>
      <c r="G88">
        <v>842.39</v>
      </c>
      <c r="H88">
        <f t="shared" si="2"/>
        <v>805.61999999999989</v>
      </c>
      <c r="I88">
        <f t="shared" si="3"/>
        <v>245.71999999999997</v>
      </c>
    </row>
    <row r="89" spans="1:9" x14ac:dyDescent="0.25">
      <c r="A89" t="s">
        <v>10</v>
      </c>
      <c r="B89" t="s">
        <v>11</v>
      </c>
      <c r="C89" t="s">
        <v>164</v>
      </c>
      <c r="D89" t="s">
        <v>165</v>
      </c>
      <c r="E89">
        <v>4</v>
      </c>
      <c r="F89">
        <v>124</v>
      </c>
      <c r="G89">
        <v>836.41</v>
      </c>
      <c r="H89">
        <f t="shared" si="2"/>
        <v>811.59999999999991</v>
      </c>
      <c r="I89">
        <f t="shared" si="3"/>
        <v>286.27999999999997</v>
      </c>
    </row>
    <row r="90" spans="1:9" x14ac:dyDescent="0.25">
      <c r="A90" t="s">
        <v>10</v>
      </c>
      <c r="B90" t="s">
        <v>11</v>
      </c>
      <c r="C90" t="s">
        <v>166</v>
      </c>
      <c r="D90" t="s">
        <v>167</v>
      </c>
      <c r="E90">
        <v>4</v>
      </c>
      <c r="F90">
        <v>132.01</v>
      </c>
      <c r="G90">
        <v>856.38</v>
      </c>
      <c r="H90">
        <f t="shared" si="2"/>
        <v>791.62999999999988</v>
      </c>
      <c r="I90">
        <f t="shared" si="3"/>
        <v>294.28999999999996</v>
      </c>
    </row>
    <row r="91" spans="1:9" x14ac:dyDescent="0.25">
      <c r="A91" t="s">
        <v>10</v>
      </c>
      <c r="B91" t="s">
        <v>11</v>
      </c>
      <c r="C91" t="s">
        <v>168</v>
      </c>
      <c r="D91" t="s">
        <v>169</v>
      </c>
      <c r="E91">
        <v>4</v>
      </c>
      <c r="F91">
        <v>101.99</v>
      </c>
      <c r="G91">
        <v>880.9</v>
      </c>
      <c r="H91">
        <f t="shared" si="2"/>
        <v>767.1099999999999</v>
      </c>
      <c r="I91">
        <f t="shared" si="3"/>
        <v>264.27</v>
      </c>
    </row>
    <row r="92" spans="1:9" x14ac:dyDescent="0.25">
      <c r="A92" t="s">
        <v>10</v>
      </c>
      <c r="B92" t="s">
        <v>11</v>
      </c>
      <c r="C92" t="s">
        <v>170</v>
      </c>
      <c r="D92" t="s">
        <v>171</v>
      </c>
      <c r="E92">
        <v>4</v>
      </c>
      <c r="F92">
        <v>130.29</v>
      </c>
      <c r="G92">
        <v>876.18</v>
      </c>
      <c r="H92">
        <f t="shared" si="2"/>
        <v>771.82999999999993</v>
      </c>
      <c r="I92">
        <f t="shared" si="3"/>
        <v>292.56999999999994</v>
      </c>
    </row>
    <row r="93" spans="1:9" x14ac:dyDescent="0.25">
      <c r="A93" t="s">
        <v>10</v>
      </c>
      <c r="B93" t="s">
        <v>11</v>
      </c>
      <c r="C93" t="s">
        <v>172</v>
      </c>
      <c r="D93" t="s">
        <v>173</v>
      </c>
      <c r="E93">
        <v>4</v>
      </c>
      <c r="F93">
        <v>165.03</v>
      </c>
      <c r="G93">
        <v>849.15</v>
      </c>
      <c r="H93">
        <f t="shared" si="2"/>
        <v>798.8599999999999</v>
      </c>
      <c r="I93">
        <f t="shared" si="3"/>
        <v>327.30999999999995</v>
      </c>
    </row>
    <row r="94" spans="1:9" x14ac:dyDescent="0.25">
      <c r="A94" t="s">
        <v>10</v>
      </c>
      <c r="B94" t="s">
        <v>11</v>
      </c>
      <c r="C94" t="s">
        <v>174</v>
      </c>
      <c r="D94" t="s">
        <v>175</v>
      </c>
      <c r="E94">
        <v>4</v>
      </c>
      <c r="F94">
        <v>172.1</v>
      </c>
      <c r="G94">
        <v>803.4</v>
      </c>
      <c r="H94">
        <f t="shared" si="2"/>
        <v>844.6099999999999</v>
      </c>
      <c r="I94">
        <f t="shared" si="3"/>
        <v>334.38</v>
      </c>
    </row>
    <row r="95" spans="1:9" x14ac:dyDescent="0.25">
      <c r="A95" t="s">
        <v>10</v>
      </c>
      <c r="B95" t="s">
        <v>11</v>
      </c>
      <c r="C95" t="s">
        <v>176</v>
      </c>
      <c r="D95" t="s">
        <v>177</v>
      </c>
      <c r="E95">
        <v>4</v>
      </c>
      <c r="F95">
        <v>195.21</v>
      </c>
      <c r="G95">
        <v>844.43</v>
      </c>
      <c r="H95">
        <f t="shared" si="2"/>
        <v>803.57999999999993</v>
      </c>
      <c r="I95">
        <f t="shared" si="3"/>
        <v>357.49</v>
      </c>
    </row>
    <row r="96" spans="1:9" x14ac:dyDescent="0.25">
      <c r="A96" t="s">
        <v>10</v>
      </c>
      <c r="B96" t="s">
        <v>11</v>
      </c>
      <c r="C96" t="s">
        <v>178</v>
      </c>
      <c r="D96" t="s">
        <v>179</v>
      </c>
      <c r="E96">
        <v>4</v>
      </c>
      <c r="F96">
        <v>233.26</v>
      </c>
      <c r="G96">
        <v>811.1</v>
      </c>
      <c r="H96">
        <f t="shared" si="2"/>
        <v>836.90999999999985</v>
      </c>
      <c r="I96">
        <f t="shared" si="3"/>
        <v>395.53999999999996</v>
      </c>
    </row>
    <row r="97" spans="1:9" x14ac:dyDescent="0.25">
      <c r="A97" t="s">
        <v>10</v>
      </c>
      <c r="B97" t="s">
        <v>11</v>
      </c>
      <c r="C97" t="s">
        <v>180</v>
      </c>
      <c r="D97" t="s">
        <v>181</v>
      </c>
      <c r="E97">
        <v>4</v>
      </c>
      <c r="F97">
        <v>222.25</v>
      </c>
      <c r="G97">
        <v>781.7</v>
      </c>
      <c r="H97">
        <f t="shared" si="2"/>
        <v>866.30999999999983</v>
      </c>
      <c r="I97">
        <f t="shared" si="3"/>
        <v>384.53</v>
      </c>
    </row>
    <row r="98" spans="1:9" x14ac:dyDescent="0.25">
      <c r="A98" t="s">
        <v>10</v>
      </c>
      <c r="B98" t="s">
        <v>11</v>
      </c>
      <c r="C98" t="s">
        <v>182</v>
      </c>
      <c r="D98" t="s">
        <v>183</v>
      </c>
      <c r="E98">
        <v>4</v>
      </c>
      <c r="F98">
        <v>198.04</v>
      </c>
      <c r="G98">
        <v>774.16</v>
      </c>
      <c r="H98">
        <f t="shared" si="2"/>
        <v>873.84999999999991</v>
      </c>
      <c r="I98">
        <f t="shared" si="3"/>
        <v>360.31999999999994</v>
      </c>
    </row>
    <row r="99" spans="1:9" x14ac:dyDescent="0.25">
      <c r="A99" t="s">
        <v>10</v>
      </c>
      <c r="B99" t="s">
        <v>11</v>
      </c>
      <c r="C99" t="s">
        <v>184</v>
      </c>
      <c r="D99" t="s">
        <v>185</v>
      </c>
      <c r="E99">
        <v>4</v>
      </c>
      <c r="F99">
        <v>152.77000000000001</v>
      </c>
      <c r="G99">
        <v>746.02</v>
      </c>
      <c r="H99">
        <f t="shared" si="2"/>
        <v>901.9899999999999</v>
      </c>
      <c r="I99">
        <f t="shared" si="3"/>
        <v>315.04999999999995</v>
      </c>
    </row>
    <row r="100" spans="1:9" x14ac:dyDescent="0.25">
      <c r="A100" t="s">
        <v>10</v>
      </c>
      <c r="B100" t="s">
        <v>11</v>
      </c>
      <c r="C100" t="s">
        <v>186</v>
      </c>
      <c r="D100" t="s">
        <v>187</v>
      </c>
      <c r="E100">
        <v>4</v>
      </c>
      <c r="F100">
        <v>135.32</v>
      </c>
      <c r="G100">
        <v>660.97</v>
      </c>
      <c r="H100">
        <f t="shared" si="2"/>
        <v>987.03999999999985</v>
      </c>
      <c r="I100">
        <f t="shared" si="3"/>
        <v>297.59999999999997</v>
      </c>
    </row>
    <row r="101" spans="1:9" x14ac:dyDescent="0.25">
      <c r="A101" t="s">
        <v>10</v>
      </c>
      <c r="B101" t="s">
        <v>11</v>
      </c>
      <c r="C101" t="s">
        <v>188</v>
      </c>
      <c r="D101" t="s">
        <v>189</v>
      </c>
      <c r="E101">
        <v>4</v>
      </c>
      <c r="F101">
        <v>176.35</v>
      </c>
      <c r="G101">
        <v>676.85</v>
      </c>
      <c r="H101">
        <f t="shared" si="2"/>
        <v>971.15999999999985</v>
      </c>
      <c r="I101">
        <f t="shared" si="3"/>
        <v>338.63</v>
      </c>
    </row>
    <row r="102" spans="1:9" s="1" customFormat="1" x14ac:dyDescent="0.25">
      <c r="A102" s="1" t="s">
        <v>10</v>
      </c>
      <c r="B102" s="1" t="s">
        <v>11</v>
      </c>
      <c r="C102" s="1" t="s">
        <v>190</v>
      </c>
      <c r="D102" s="1" t="s">
        <v>191</v>
      </c>
      <c r="E102" s="1">
        <v>4</v>
      </c>
      <c r="F102" s="1">
        <v>196.63</v>
      </c>
      <c r="G102" s="1">
        <v>659.56</v>
      </c>
      <c r="H102" s="1">
        <f t="shared" si="2"/>
        <v>988.44999999999993</v>
      </c>
      <c r="I102" s="1">
        <f t="shared" si="3"/>
        <v>358.90999999999997</v>
      </c>
    </row>
    <row r="103" spans="1:9" x14ac:dyDescent="0.25">
      <c r="A103" t="s">
        <v>10</v>
      </c>
      <c r="B103" t="s">
        <v>11</v>
      </c>
      <c r="C103" t="s">
        <v>192</v>
      </c>
      <c r="D103" t="s">
        <v>193</v>
      </c>
      <c r="E103">
        <v>4</v>
      </c>
      <c r="F103">
        <v>229.8</v>
      </c>
      <c r="G103">
        <v>641.01</v>
      </c>
      <c r="H103">
        <f t="shared" si="2"/>
        <v>1006.9999999999999</v>
      </c>
      <c r="I103">
        <f t="shared" si="3"/>
        <v>392.08</v>
      </c>
    </row>
    <row r="104" spans="1:9" x14ac:dyDescent="0.25">
      <c r="A104" t="s">
        <v>10</v>
      </c>
      <c r="B104" t="s">
        <v>11</v>
      </c>
      <c r="C104" t="s">
        <v>194</v>
      </c>
      <c r="D104" t="s">
        <v>195</v>
      </c>
      <c r="E104">
        <v>4</v>
      </c>
      <c r="F104">
        <v>275.39</v>
      </c>
      <c r="G104">
        <v>668.04</v>
      </c>
      <c r="H104">
        <f t="shared" si="2"/>
        <v>979.96999999999991</v>
      </c>
      <c r="I104">
        <f t="shared" si="3"/>
        <v>437.66999999999996</v>
      </c>
    </row>
    <row r="105" spans="1:9" x14ac:dyDescent="0.25">
      <c r="A105" t="s">
        <v>10</v>
      </c>
      <c r="B105" t="s">
        <v>11</v>
      </c>
      <c r="C105" t="s">
        <v>196</v>
      </c>
      <c r="D105" t="s">
        <v>197</v>
      </c>
      <c r="E105">
        <v>4</v>
      </c>
      <c r="F105">
        <v>257.94</v>
      </c>
      <c r="G105">
        <v>696.97</v>
      </c>
      <c r="H105">
        <f t="shared" si="2"/>
        <v>951.03999999999985</v>
      </c>
      <c r="I105">
        <f t="shared" si="3"/>
        <v>420.21999999999997</v>
      </c>
    </row>
    <row r="106" spans="1:9" x14ac:dyDescent="0.25">
      <c r="A106" t="s">
        <v>10</v>
      </c>
      <c r="B106" t="s">
        <v>11</v>
      </c>
      <c r="C106" t="s">
        <v>198</v>
      </c>
      <c r="D106" t="s">
        <v>199</v>
      </c>
      <c r="E106">
        <v>4</v>
      </c>
      <c r="F106">
        <v>187.98</v>
      </c>
      <c r="G106">
        <v>720.55</v>
      </c>
      <c r="H106">
        <f t="shared" si="2"/>
        <v>927.45999999999992</v>
      </c>
      <c r="I106">
        <f t="shared" si="3"/>
        <v>350.26</v>
      </c>
    </row>
    <row r="107" spans="1:9" x14ac:dyDescent="0.25">
      <c r="A107" t="s">
        <v>10</v>
      </c>
      <c r="B107" t="s">
        <v>11</v>
      </c>
      <c r="C107" t="s">
        <v>200</v>
      </c>
      <c r="D107" t="s">
        <v>201</v>
      </c>
      <c r="E107">
        <v>4</v>
      </c>
      <c r="F107">
        <v>294.41000000000003</v>
      </c>
      <c r="G107">
        <v>742.09</v>
      </c>
      <c r="H107">
        <f t="shared" si="2"/>
        <v>905.91999999999985</v>
      </c>
      <c r="I107">
        <f t="shared" si="3"/>
        <v>456.69</v>
      </c>
    </row>
    <row r="108" spans="1:9" x14ac:dyDescent="0.25">
      <c r="A108" t="s">
        <v>10</v>
      </c>
      <c r="B108" t="s">
        <v>11</v>
      </c>
      <c r="C108" t="s">
        <v>202</v>
      </c>
      <c r="D108" t="s">
        <v>203</v>
      </c>
      <c r="E108">
        <v>4</v>
      </c>
      <c r="F108">
        <v>256.68</v>
      </c>
      <c r="G108">
        <v>765.51</v>
      </c>
      <c r="H108">
        <f t="shared" si="2"/>
        <v>882.49999999999989</v>
      </c>
      <c r="I108">
        <f t="shared" si="3"/>
        <v>418.96</v>
      </c>
    </row>
    <row r="109" spans="1:9" x14ac:dyDescent="0.25">
      <c r="A109" t="s">
        <v>10</v>
      </c>
      <c r="B109" t="s">
        <v>11</v>
      </c>
      <c r="C109" t="s">
        <v>204</v>
      </c>
      <c r="D109" t="s">
        <v>205</v>
      </c>
      <c r="E109">
        <v>4</v>
      </c>
      <c r="F109">
        <v>168.17</v>
      </c>
      <c r="G109">
        <v>629.37</v>
      </c>
      <c r="H109">
        <f t="shared" si="2"/>
        <v>1018.6399999999999</v>
      </c>
      <c r="I109">
        <f t="shared" si="3"/>
        <v>330.44999999999993</v>
      </c>
    </row>
    <row r="110" spans="1:9" x14ac:dyDescent="0.25">
      <c r="A110" t="s">
        <v>10</v>
      </c>
      <c r="B110" t="s">
        <v>11</v>
      </c>
      <c r="C110" t="s">
        <v>206</v>
      </c>
      <c r="D110" t="s">
        <v>207</v>
      </c>
      <c r="E110">
        <v>4</v>
      </c>
      <c r="F110">
        <v>247.4</v>
      </c>
      <c r="G110">
        <v>609.09</v>
      </c>
      <c r="H110">
        <f t="shared" si="2"/>
        <v>1038.9199999999998</v>
      </c>
      <c r="I110">
        <f t="shared" si="3"/>
        <v>409.67999999999995</v>
      </c>
    </row>
    <row r="111" spans="1:9" x14ac:dyDescent="0.25">
      <c r="A111" t="s">
        <v>10</v>
      </c>
      <c r="B111" t="s">
        <v>11</v>
      </c>
      <c r="C111" t="s">
        <v>208</v>
      </c>
      <c r="D111" t="s">
        <v>209</v>
      </c>
      <c r="E111">
        <v>4</v>
      </c>
      <c r="F111">
        <v>212.98</v>
      </c>
      <c r="G111">
        <v>682.35</v>
      </c>
      <c r="H111">
        <f t="shared" si="2"/>
        <v>965.65999999999985</v>
      </c>
      <c r="I111">
        <f t="shared" si="3"/>
        <v>375.26</v>
      </c>
    </row>
    <row r="112" spans="1:9" x14ac:dyDescent="0.25">
      <c r="A112" t="s">
        <v>10</v>
      </c>
      <c r="B112" t="s">
        <v>11</v>
      </c>
      <c r="C112" t="s">
        <v>210</v>
      </c>
      <c r="D112" t="s">
        <v>211</v>
      </c>
      <c r="E112">
        <v>4</v>
      </c>
      <c r="F112">
        <v>222.72</v>
      </c>
      <c r="G112">
        <v>731.4</v>
      </c>
      <c r="H112">
        <f t="shared" si="2"/>
        <v>916.6099999999999</v>
      </c>
      <c r="I112">
        <f t="shared" si="3"/>
        <v>385</v>
      </c>
    </row>
    <row r="113" spans="1:9" x14ac:dyDescent="0.25">
      <c r="A113" t="s">
        <v>10</v>
      </c>
      <c r="B113" t="s">
        <v>11</v>
      </c>
      <c r="C113" t="s">
        <v>212</v>
      </c>
      <c r="D113" t="s">
        <v>213</v>
      </c>
      <c r="E113">
        <v>4</v>
      </c>
      <c r="F113">
        <v>268.63</v>
      </c>
      <c r="G113">
        <v>797.11</v>
      </c>
      <c r="H113">
        <f t="shared" si="2"/>
        <v>850.89999999999986</v>
      </c>
      <c r="I113">
        <f t="shared" si="3"/>
        <v>430.90999999999997</v>
      </c>
    </row>
    <row r="114" spans="1:9" x14ac:dyDescent="0.25">
      <c r="A114" t="s">
        <v>10</v>
      </c>
      <c r="B114" t="s">
        <v>11</v>
      </c>
      <c r="C114" t="s">
        <v>214</v>
      </c>
      <c r="D114" t="s">
        <v>215</v>
      </c>
      <c r="E114">
        <v>4</v>
      </c>
      <c r="F114">
        <v>299.91000000000003</v>
      </c>
      <c r="G114">
        <v>810.79</v>
      </c>
      <c r="H114">
        <f t="shared" si="2"/>
        <v>837.21999999999991</v>
      </c>
      <c r="I114">
        <f t="shared" si="3"/>
        <v>462.19</v>
      </c>
    </row>
    <row r="115" spans="1:9" x14ac:dyDescent="0.25">
      <c r="A115" t="s">
        <v>10</v>
      </c>
      <c r="B115" t="s">
        <v>11</v>
      </c>
      <c r="C115" t="s">
        <v>216</v>
      </c>
      <c r="D115" t="s">
        <v>217</v>
      </c>
      <c r="E115">
        <v>4</v>
      </c>
      <c r="F115">
        <v>257.64999999999998</v>
      </c>
      <c r="G115">
        <v>923.9</v>
      </c>
      <c r="H115">
        <f t="shared" si="2"/>
        <v>724.1099999999999</v>
      </c>
      <c r="I115">
        <f t="shared" si="3"/>
        <v>419.92999999999995</v>
      </c>
    </row>
    <row r="116" spans="1:9" x14ac:dyDescent="0.25">
      <c r="A116" t="s">
        <v>10</v>
      </c>
      <c r="B116" t="s">
        <v>11</v>
      </c>
      <c r="C116" t="s">
        <v>218</v>
      </c>
      <c r="D116" t="s">
        <v>219</v>
      </c>
      <c r="E116">
        <v>4</v>
      </c>
      <c r="F116">
        <v>235.39</v>
      </c>
      <c r="G116">
        <v>946.53</v>
      </c>
      <c r="H116">
        <f t="shared" si="2"/>
        <v>701.4799999999999</v>
      </c>
      <c r="I116">
        <f t="shared" si="3"/>
        <v>397.66999999999996</v>
      </c>
    </row>
    <row r="117" spans="1:9" x14ac:dyDescent="0.25">
      <c r="A117" t="s">
        <v>10</v>
      </c>
      <c r="B117" t="s">
        <v>11</v>
      </c>
      <c r="C117" t="s">
        <v>220</v>
      </c>
      <c r="D117" t="s">
        <v>221</v>
      </c>
      <c r="E117">
        <v>4</v>
      </c>
      <c r="F117">
        <v>307.07</v>
      </c>
      <c r="G117">
        <v>905.79</v>
      </c>
      <c r="H117">
        <f t="shared" si="2"/>
        <v>742.21999999999991</v>
      </c>
      <c r="I117">
        <f t="shared" si="3"/>
        <v>469.34999999999997</v>
      </c>
    </row>
    <row r="118" spans="1:9" x14ac:dyDescent="0.25">
      <c r="A118" t="s">
        <v>10</v>
      </c>
      <c r="B118" t="s">
        <v>11</v>
      </c>
      <c r="C118" t="s">
        <v>222</v>
      </c>
      <c r="D118" t="s">
        <v>223</v>
      </c>
      <c r="E118">
        <v>4</v>
      </c>
      <c r="F118">
        <v>340.46</v>
      </c>
      <c r="G118">
        <v>875.41</v>
      </c>
      <c r="H118">
        <f t="shared" si="2"/>
        <v>772.59999999999991</v>
      </c>
      <c r="I118">
        <f t="shared" si="3"/>
        <v>502.73999999999995</v>
      </c>
    </row>
    <row r="119" spans="1:9" x14ac:dyDescent="0.25">
      <c r="A119" t="s">
        <v>10</v>
      </c>
      <c r="B119" t="s">
        <v>11</v>
      </c>
      <c r="C119" t="s">
        <v>224</v>
      </c>
      <c r="D119" t="s">
        <v>225</v>
      </c>
      <c r="E119">
        <v>4</v>
      </c>
      <c r="F119">
        <v>378.76</v>
      </c>
      <c r="G119">
        <v>885.98</v>
      </c>
      <c r="H119">
        <f t="shared" si="2"/>
        <v>762.02999999999986</v>
      </c>
      <c r="I119">
        <f t="shared" si="3"/>
        <v>541.04</v>
      </c>
    </row>
    <row r="120" spans="1:9" x14ac:dyDescent="0.25">
      <c r="A120" t="s">
        <v>10</v>
      </c>
      <c r="B120" t="s">
        <v>11</v>
      </c>
      <c r="C120" t="s">
        <v>226</v>
      </c>
      <c r="D120" t="s">
        <v>227</v>
      </c>
      <c r="E120">
        <v>4</v>
      </c>
      <c r="F120">
        <v>341.97</v>
      </c>
      <c r="G120">
        <v>914.09</v>
      </c>
      <c r="H120">
        <f t="shared" si="2"/>
        <v>733.91999999999985</v>
      </c>
      <c r="I120">
        <f t="shared" si="3"/>
        <v>504.25</v>
      </c>
    </row>
    <row r="121" spans="1:9" x14ac:dyDescent="0.25">
      <c r="A121" t="s">
        <v>10</v>
      </c>
      <c r="B121" t="s">
        <v>11</v>
      </c>
      <c r="C121" t="s">
        <v>228</v>
      </c>
      <c r="D121" t="s">
        <v>229</v>
      </c>
      <c r="E121">
        <v>4</v>
      </c>
      <c r="F121">
        <v>302.92</v>
      </c>
      <c r="G121">
        <v>950.87</v>
      </c>
      <c r="H121">
        <f t="shared" si="2"/>
        <v>697.13999999999987</v>
      </c>
      <c r="I121">
        <f t="shared" si="3"/>
        <v>465.2</v>
      </c>
    </row>
    <row r="122" spans="1:9" x14ac:dyDescent="0.25">
      <c r="A122" t="s">
        <v>10</v>
      </c>
      <c r="B122" t="s">
        <v>11</v>
      </c>
      <c r="C122" t="s">
        <v>230</v>
      </c>
      <c r="D122" t="s">
        <v>231</v>
      </c>
      <c r="E122">
        <v>4</v>
      </c>
      <c r="F122">
        <v>257.45999999999998</v>
      </c>
      <c r="G122">
        <v>981.25</v>
      </c>
      <c r="H122">
        <f t="shared" si="2"/>
        <v>666.75999999999988</v>
      </c>
      <c r="I122">
        <f t="shared" si="3"/>
        <v>419.73999999999995</v>
      </c>
    </row>
    <row r="123" spans="1:9" x14ac:dyDescent="0.25">
      <c r="A123" t="s">
        <v>10</v>
      </c>
      <c r="B123" t="s">
        <v>11</v>
      </c>
      <c r="C123" t="s">
        <v>232</v>
      </c>
      <c r="D123" t="s">
        <v>233</v>
      </c>
      <c r="E123">
        <v>4</v>
      </c>
      <c r="F123">
        <v>281.60000000000002</v>
      </c>
      <c r="G123">
        <v>998.98</v>
      </c>
      <c r="H123">
        <f t="shared" si="2"/>
        <v>649.02999999999986</v>
      </c>
      <c r="I123">
        <f t="shared" si="3"/>
        <v>443.88</v>
      </c>
    </row>
    <row r="124" spans="1:9" x14ac:dyDescent="0.25">
      <c r="A124" t="s">
        <v>10</v>
      </c>
      <c r="B124" t="s">
        <v>11</v>
      </c>
      <c r="C124" t="s">
        <v>234</v>
      </c>
      <c r="D124" t="s">
        <v>235</v>
      </c>
      <c r="E124">
        <v>4</v>
      </c>
      <c r="F124">
        <v>246.7</v>
      </c>
      <c r="G124">
        <v>1018.22</v>
      </c>
      <c r="H124">
        <f t="shared" si="2"/>
        <v>629.78999999999985</v>
      </c>
      <c r="I124">
        <f t="shared" si="3"/>
        <v>408.97999999999996</v>
      </c>
    </row>
    <row r="125" spans="1:9" x14ac:dyDescent="0.25">
      <c r="A125" t="s">
        <v>10</v>
      </c>
      <c r="B125" t="s">
        <v>11</v>
      </c>
      <c r="C125" t="s">
        <v>236</v>
      </c>
      <c r="D125" t="s">
        <v>237</v>
      </c>
      <c r="E125">
        <v>4</v>
      </c>
      <c r="F125">
        <v>235.57</v>
      </c>
      <c r="G125">
        <v>1049.72</v>
      </c>
      <c r="H125">
        <f t="shared" si="2"/>
        <v>598.28999999999985</v>
      </c>
      <c r="I125">
        <f t="shared" si="3"/>
        <v>397.84999999999997</v>
      </c>
    </row>
    <row r="126" spans="1:9" x14ac:dyDescent="0.25">
      <c r="A126" t="s">
        <v>10</v>
      </c>
      <c r="B126" t="s">
        <v>11</v>
      </c>
      <c r="C126" t="s">
        <v>238</v>
      </c>
      <c r="D126" t="s">
        <v>239</v>
      </c>
      <c r="E126">
        <v>4</v>
      </c>
      <c r="F126">
        <v>260.48</v>
      </c>
      <c r="G126">
        <v>1055.3800000000001</v>
      </c>
      <c r="H126">
        <f t="shared" si="2"/>
        <v>592.62999999999977</v>
      </c>
      <c r="I126">
        <f t="shared" si="3"/>
        <v>422.76</v>
      </c>
    </row>
    <row r="127" spans="1:9" x14ac:dyDescent="0.25">
      <c r="A127" t="s">
        <v>10</v>
      </c>
      <c r="B127" t="s">
        <v>11</v>
      </c>
      <c r="C127" t="s">
        <v>240</v>
      </c>
      <c r="D127" t="s">
        <v>241</v>
      </c>
      <c r="E127">
        <v>4</v>
      </c>
      <c r="F127">
        <v>282.74</v>
      </c>
      <c r="G127">
        <v>1048.4000000000001</v>
      </c>
      <c r="H127">
        <f t="shared" si="2"/>
        <v>599.60999999999979</v>
      </c>
      <c r="I127">
        <f t="shared" si="3"/>
        <v>445.02</v>
      </c>
    </row>
    <row r="128" spans="1:9" x14ac:dyDescent="0.25">
      <c r="A128" t="s">
        <v>10</v>
      </c>
      <c r="B128" t="s">
        <v>11</v>
      </c>
      <c r="C128" t="s">
        <v>242</v>
      </c>
      <c r="D128" t="s">
        <v>243</v>
      </c>
      <c r="E128">
        <v>4</v>
      </c>
      <c r="F128">
        <v>287.64</v>
      </c>
      <c r="G128">
        <v>1020.11</v>
      </c>
      <c r="H128">
        <f t="shared" si="2"/>
        <v>627.89999999999986</v>
      </c>
      <c r="I128">
        <f t="shared" si="3"/>
        <v>449.91999999999996</v>
      </c>
    </row>
    <row r="129" spans="1:9" x14ac:dyDescent="0.25">
      <c r="A129" t="s">
        <v>10</v>
      </c>
      <c r="B129" t="s">
        <v>11</v>
      </c>
      <c r="C129" t="s">
        <v>244</v>
      </c>
      <c r="D129" t="s">
        <v>245</v>
      </c>
      <c r="E129">
        <v>4</v>
      </c>
      <c r="F129">
        <v>326.13</v>
      </c>
      <c r="G129">
        <v>1010.49</v>
      </c>
      <c r="H129">
        <f t="shared" si="2"/>
        <v>637.51999999999987</v>
      </c>
      <c r="I129">
        <f t="shared" si="3"/>
        <v>488.40999999999997</v>
      </c>
    </row>
    <row r="130" spans="1:9" x14ac:dyDescent="0.25">
      <c r="A130" t="s">
        <v>10</v>
      </c>
      <c r="B130" t="s">
        <v>11</v>
      </c>
      <c r="C130" t="s">
        <v>246</v>
      </c>
      <c r="D130" t="s">
        <v>247</v>
      </c>
      <c r="E130">
        <v>4</v>
      </c>
      <c r="F130">
        <v>352.35</v>
      </c>
      <c r="G130">
        <v>1032.18</v>
      </c>
      <c r="H130">
        <f t="shared" si="2"/>
        <v>615.82999999999981</v>
      </c>
      <c r="I130">
        <f t="shared" si="3"/>
        <v>514.63</v>
      </c>
    </row>
    <row r="131" spans="1:9" x14ac:dyDescent="0.25">
      <c r="A131" t="s">
        <v>10</v>
      </c>
      <c r="B131" t="s">
        <v>11</v>
      </c>
      <c r="C131" t="s">
        <v>248</v>
      </c>
      <c r="D131" t="s">
        <v>249</v>
      </c>
      <c r="E131">
        <v>4</v>
      </c>
      <c r="F131">
        <v>364.23</v>
      </c>
      <c r="G131">
        <v>1007.66</v>
      </c>
      <c r="H131">
        <f t="shared" si="2"/>
        <v>640.34999999999991</v>
      </c>
      <c r="I131">
        <f t="shared" si="3"/>
        <v>526.51</v>
      </c>
    </row>
    <row r="132" spans="1:9" x14ac:dyDescent="0.25">
      <c r="A132" t="s">
        <v>10</v>
      </c>
      <c r="B132" t="s">
        <v>11</v>
      </c>
      <c r="C132" t="s">
        <v>250</v>
      </c>
      <c r="D132" t="s">
        <v>251</v>
      </c>
      <c r="E132">
        <v>4</v>
      </c>
      <c r="F132">
        <v>342.16</v>
      </c>
      <c r="G132">
        <v>962.38</v>
      </c>
      <c r="H132">
        <f t="shared" si="2"/>
        <v>685.62999999999988</v>
      </c>
      <c r="I132">
        <f t="shared" si="3"/>
        <v>504.44</v>
      </c>
    </row>
    <row r="133" spans="1:9" x14ac:dyDescent="0.25">
      <c r="A133" t="s">
        <v>10</v>
      </c>
      <c r="B133" t="s">
        <v>11</v>
      </c>
      <c r="C133" t="s">
        <v>252</v>
      </c>
      <c r="D133" t="s">
        <v>253</v>
      </c>
      <c r="E133">
        <v>4</v>
      </c>
      <c r="F133">
        <v>390.08</v>
      </c>
      <c r="G133">
        <v>932.76</v>
      </c>
      <c r="H133">
        <f t="shared" si="2"/>
        <v>715.24999999999989</v>
      </c>
      <c r="I133">
        <f t="shared" si="3"/>
        <v>552.3599999999999</v>
      </c>
    </row>
    <row r="134" spans="1:9" x14ac:dyDescent="0.25">
      <c r="A134" t="s">
        <v>10</v>
      </c>
      <c r="B134" t="s">
        <v>11</v>
      </c>
      <c r="C134" t="s">
        <v>254</v>
      </c>
      <c r="D134" t="s">
        <v>255</v>
      </c>
      <c r="E134">
        <v>4</v>
      </c>
      <c r="F134">
        <v>424.22</v>
      </c>
      <c r="G134">
        <v>959.36</v>
      </c>
      <c r="H134">
        <f t="shared" si="2"/>
        <v>688.64999999999986</v>
      </c>
      <c r="I134">
        <f t="shared" si="3"/>
        <v>586.5</v>
      </c>
    </row>
    <row r="135" spans="1:9" x14ac:dyDescent="0.25">
      <c r="A135" t="s">
        <v>10</v>
      </c>
      <c r="B135" t="s">
        <v>11</v>
      </c>
      <c r="C135" t="s">
        <v>256</v>
      </c>
      <c r="D135" t="s">
        <v>257</v>
      </c>
      <c r="E135">
        <v>4</v>
      </c>
      <c r="F135">
        <v>431.01</v>
      </c>
      <c r="G135">
        <v>932.76</v>
      </c>
      <c r="H135">
        <f t="shared" si="2"/>
        <v>715.24999999999989</v>
      </c>
      <c r="I135">
        <f t="shared" si="3"/>
        <v>593.29</v>
      </c>
    </row>
    <row r="136" spans="1:9" x14ac:dyDescent="0.25">
      <c r="A136" t="s">
        <v>10</v>
      </c>
      <c r="B136" t="s">
        <v>11</v>
      </c>
      <c r="C136" t="s">
        <v>258</v>
      </c>
      <c r="D136" t="s">
        <v>259</v>
      </c>
      <c r="E136">
        <v>4</v>
      </c>
      <c r="F136">
        <v>217.46</v>
      </c>
      <c r="G136">
        <v>864.66</v>
      </c>
      <c r="H136">
        <f t="shared" si="2"/>
        <v>783.34999999999991</v>
      </c>
      <c r="I136">
        <f t="shared" si="3"/>
        <v>379.74</v>
      </c>
    </row>
    <row r="137" spans="1:9" x14ac:dyDescent="0.25">
      <c r="A137" t="s">
        <v>10</v>
      </c>
      <c r="B137" t="s">
        <v>11</v>
      </c>
      <c r="C137" t="s">
        <v>260</v>
      </c>
      <c r="D137" t="s">
        <v>261</v>
      </c>
      <c r="E137">
        <v>4</v>
      </c>
      <c r="F137">
        <v>263.49</v>
      </c>
      <c r="G137">
        <v>840.14</v>
      </c>
      <c r="H137">
        <f t="shared" si="2"/>
        <v>807.86999999999989</v>
      </c>
      <c r="I137">
        <f t="shared" si="3"/>
        <v>425.77</v>
      </c>
    </row>
    <row r="138" spans="1:9" x14ac:dyDescent="0.25">
      <c r="A138" t="s">
        <v>10</v>
      </c>
      <c r="B138" t="s">
        <v>11</v>
      </c>
      <c r="C138" t="s">
        <v>262</v>
      </c>
      <c r="D138" t="s">
        <v>263</v>
      </c>
      <c r="E138">
        <v>4</v>
      </c>
      <c r="F138">
        <v>326.13</v>
      </c>
      <c r="G138">
        <v>818.25</v>
      </c>
      <c r="H138">
        <f t="shared" si="2"/>
        <v>829.75999999999988</v>
      </c>
      <c r="I138">
        <f t="shared" si="3"/>
        <v>488.40999999999997</v>
      </c>
    </row>
    <row r="139" spans="1:9" x14ac:dyDescent="0.25">
      <c r="A139" t="s">
        <v>10</v>
      </c>
      <c r="B139" t="s">
        <v>11</v>
      </c>
      <c r="C139" t="s">
        <v>264</v>
      </c>
      <c r="D139" t="s">
        <v>265</v>
      </c>
      <c r="E139">
        <v>4</v>
      </c>
      <c r="F139">
        <v>303.87</v>
      </c>
      <c r="G139">
        <v>859.57</v>
      </c>
      <c r="H139">
        <f t="shared" si="2"/>
        <v>788.43999999999983</v>
      </c>
      <c r="I139">
        <f t="shared" si="3"/>
        <v>466.15</v>
      </c>
    </row>
    <row r="140" spans="1:9" x14ac:dyDescent="0.25">
      <c r="A140" t="s">
        <v>10</v>
      </c>
      <c r="B140" t="s">
        <v>11</v>
      </c>
      <c r="C140" t="s">
        <v>266</v>
      </c>
      <c r="D140" t="s">
        <v>267</v>
      </c>
      <c r="E140">
        <v>4</v>
      </c>
      <c r="F140">
        <v>196.34</v>
      </c>
      <c r="G140">
        <v>883.34</v>
      </c>
      <c r="H140">
        <f t="shared" si="2"/>
        <v>764.66999999999985</v>
      </c>
      <c r="I140">
        <f t="shared" si="3"/>
        <v>358.62</v>
      </c>
    </row>
    <row r="141" spans="1:9" x14ac:dyDescent="0.25">
      <c r="A141" t="s">
        <v>10</v>
      </c>
      <c r="B141" t="s">
        <v>11</v>
      </c>
      <c r="C141" t="s">
        <v>268</v>
      </c>
      <c r="D141" t="s">
        <v>269</v>
      </c>
      <c r="E141">
        <v>4</v>
      </c>
      <c r="F141">
        <v>214.26</v>
      </c>
      <c r="G141">
        <v>918.05</v>
      </c>
      <c r="H141">
        <f t="shared" ref="H141:H188" si="4">($B$2-G141)+$B$8</f>
        <v>729.95999999999992</v>
      </c>
      <c r="I141">
        <f t="shared" ref="I141:I188" si="5">F141+$B$9</f>
        <v>376.53999999999996</v>
      </c>
    </row>
    <row r="142" spans="1:9" x14ac:dyDescent="0.25">
      <c r="A142" t="s">
        <v>10</v>
      </c>
      <c r="B142" t="s">
        <v>11</v>
      </c>
      <c r="C142" t="s">
        <v>270</v>
      </c>
      <c r="D142" t="s">
        <v>271</v>
      </c>
      <c r="E142">
        <v>4</v>
      </c>
      <c r="F142">
        <v>290.27999999999997</v>
      </c>
      <c r="G142">
        <v>883.71</v>
      </c>
      <c r="H142">
        <f t="shared" si="4"/>
        <v>764.29999999999984</v>
      </c>
      <c r="I142">
        <f t="shared" si="5"/>
        <v>452.55999999999995</v>
      </c>
    </row>
    <row r="143" spans="1:9" x14ac:dyDescent="0.25">
      <c r="A143" t="s">
        <v>10</v>
      </c>
      <c r="B143" t="s">
        <v>11</v>
      </c>
      <c r="C143" t="s">
        <v>272</v>
      </c>
      <c r="D143" t="s">
        <v>273</v>
      </c>
      <c r="E143">
        <v>4</v>
      </c>
      <c r="F143">
        <v>236.89</v>
      </c>
      <c r="G143">
        <v>894.09</v>
      </c>
      <c r="H143">
        <f t="shared" si="4"/>
        <v>753.91999999999985</v>
      </c>
      <c r="I143">
        <f t="shared" si="5"/>
        <v>399.16999999999996</v>
      </c>
    </row>
    <row r="144" spans="1:9" x14ac:dyDescent="0.25">
      <c r="A144" t="s">
        <v>10</v>
      </c>
      <c r="B144" t="s">
        <v>11</v>
      </c>
      <c r="C144" t="s">
        <v>274</v>
      </c>
      <c r="D144" t="s">
        <v>275</v>
      </c>
      <c r="E144">
        <v>4</v>
      </c>
      <c r="F144">
        <v>328.78</v>
      </c>
      <c r="G144">
        <v>59.9</v>
      </c>
      <c r="H144">
        <f t="shared" si="4"/>
        <v>1588.1099999999997</v>
      </c>
      <c r="I144">
        <f t="shared" si="5"/>
        <v>491.05999999999995</v>
      </c>
    </row>
    <row r="145" spans="1:9" x14ac:dyDescent="0.25">
      <c r="A145" t="s">
        <v>10</v>
      </c>
      <c r="B145" t="s">
        <v>11</v>
      </c>
      <c r="C145" t="s">
        <v>276</v>
      </c>
      <c r="D145" t="s">
        <v>277</v>
      </c>
      <c r="E145">
        <v>4</v>
      </c>
      <c r="F145">
        <v>316.61</v>
      </c>
      <c r="G145">
        <v>82.87</v>
      </c>
      <c r="H145">
        <f t="shared" si="4"/>
        <v>1565.1399999999999</v>
      </c>
      <c r="I145">
        <f t="shared" si="5"/>
        <v>478.89</v>
      </c>
    </row>
    <row r="146" spans="1:9" x14ac:dyDescent="0.25">
      <c r="A146" t="s">
        <v>10</v>
      </c>
      <c r="B146" t="s">
        <v>11</v>
      </c>
      <c r="C146" t="s">
        <v>278</v>
      </c>
      <c r="D146" t="s">
        <v>279</v>
      </c>
      <c r="E146">
        <v>4</v>
      </c>
      <c r="F146">
        <v>338.75</v>
      </c>
      <c r="G146">
        <v>108.61</v>
      </c>
      <c r="H146">
        <f t="shared" si="4"/>
        <v>1539.4</v>
      </c>
      <c r="I146">
        <f t="shared" si="5"/>
        <v>501.03</v>
      </c>
    </row>
    <row r="147" spans="1:9" x14ac:dyDescent="0.25">
      <c r="A147" t="s">
        <v>10</v>
      </c>
      <c r="B147" t="s">
        <v>11</v>
      </c>
      <c r="C147" t="s">
        <v>280</v>
      </c>
      <c r="D147" t="s">
        <v>281</v>
      </c>
      <c r="E147">
        <v>4</v>
      </c>
      <c r="F147">
        <v>405.18</v>
      </c>
      <c r="G147">
        <v>124.11</v>
      </c>
      <c r="H147">
        <f t="shared" si="4"/>
        <v>1523.9</v>
      </c>
      <c r="I147">
        <f t="shared" si="5"/>
        <v>567.46</v>
      </c>
    </row>
    <row r="148" spans="1:9" x14ac:dyDescent="0.25">
      <c r="A148" t="s">
        <v>10</v>
      </c>
      <c r="B148" t="s">
        <v>11</v>
      </c>
      <c r="C148" t="s">
        <v>282</v>
      </c>
      <c r="D148" t="s">
        <v>283</v>
      </c>
      <c r="E148">
        <v>4</v>
      </c>
      <c r="F148">
        <v>370.3</v>
      </c>
      <c r="G148">
        <v>148.75</v>
      </c>
      <c r="H148">
        <f t="shared" si="4"/>
        <v>1499.2599999999998</v>
      </c>
      <c r="I148">
        <f t="shared" si="5"/>
        <v>532.57999999999993</v>
      </c>
    </row>
    <row r="149" spans="1:9" x14ac:dyDescent="0.25">
      <c r="A149" t="s">
        <v>10</v>
      </c>
      <c r="B149" t="s">
        <v>11</v>
      </c>
      <c r="C149" t="s">
        <v>284</v>
      </c>
      <c r="D149" t="s">
        <v>285</v>
      </c>
      <c r="E149">
        <v>4</v>
      </c>
      <c r="F149">
        <v>466.09</v>
      </c>
      <c r="G149">
        <v>209.21</v>
      </c>
      <c r="H149">
        <f t="shared" si="4"/>
        <v>1438.7999999999997</v>
      </c>
      <c r="I149">
        <f t="shared" si="5"/>
        <v>628.36999999999989</v>
      </c>
    </row>
    <row r="150" spans="1:9" x14ac:dyDescent="0.25">
      <c r="A150" t="s">
        <v>10</v>
      </c>
      <c r="B150" t="s">
        <v>11</v>
      </c>
      <c r="C150" t="s">
        <v>286</v>
      </c>
      <c r="D150" t="s">
        <v>287</v>
      </c>
      <c r="E150">
        <v>4</v>
      </c>
      <c r="F150">
        <v>416.09</v>
      </c>
      <c r="G150">
        <v>259.22000000000003</v>
      </c>
      <c r="H150">
        <f t="shared" si="4"/>
        <v>1388.79</v>
      </c>
      <c r="I150">
        <f t="shared" si="5"/>
        <v>578.36999999999989</v>
      </c>
    </row>
    <row r="151" spans="1:9" x14ac:dyDescent="0.25">
      <c r="A151" t="s">
        <v>10</v>
      </c>
      <c r="B151" t="s">
        <v>11</v>
      </c>
      <c r="C151" t="s">
        <v>288</v>
      </c>
      <c r="D151" t="s">
        <v>289</v>
      </c>
      <c r="E151">
        <v>4</v>
      </c>
      <c r="F151">
        <v>283.66000000000003</v>
      </c>
      <c r="G151">
        <v>282.74</v>
      </c>
      <c r="H151">
        <f t="shared" si="4"/>
        <v>1365.27</v>
      </c>
      <c r="I151">
        <f t="shared" si="5"/>
        <v>445.94</v>
      </c>
    </row>
    <row r="152" spans="1:9" x14ac:dyDescent="0.25">
      <c r="A152" t="s">
        <v>10</v>
      </c>
      <c r="B152" t="s">
        <v>11</v>
      </c>
      <c r="C152" t="s">
        <v>290</v>
      </c>
      <c r="D152" t="s">
        <v>291</v>
      </c>
      <c r="E152">
        <v>4</v>
      </c>
      <c r="F152">
        <v>169.7</v>
      </c>
      <c r="G152">
        <v>237.95</v>
      </c>
      <c r="H152">
        <f t="shared" si="4"/>
        <v>1410.06</v>
      </c>
      <c r="I152">
        <f t="shared" si="5"/>
        <v>331.97999999999996</v>
      </c>
    </row>
    <row r="153" spans="1:9" x14ac:dyDescent="0.25">
      <c r="A153" t="s">
        <v>10</v>
      </c>
      <c r="B153" t="s">
        <v>11</v>
      </c>
      <c r="C153" t="s">
        <v>292</v>
      </c>
      <c r="D153" t="s">
        <v>293</v>
      </c>
      <c r="E153">
        <v>4</v>
      </c>
      <c r="F153">
        <v>139.21</v>
      </c>
      <c r="G153">
        <v>252.47</v>
      </c>
      <c r="H153">
        <f t="shared" si="4"/>
        <v>1395.54</v>
      </c>
      <c r="I153">
        <f t="shared" si="5"/>
        <v>301.49</v>
      </c>
    </row>
    <row r="154" spans="1:9" x14ac:dyDescent="0.25">
      <c r="A154" t="s">
        <v>10</v>
      </c>
      <c r="B154" t="s">
        <v>11</v>
      </c>
      <c r="C154" t="s">
        <v>294</v>
      </c>
      <c r="D154" t="s">
        <v>295</v>
      </c>
      <c r="E154">
        <v>4</v>
      </c>
      <c r="F154">
        <v>213.85</v>
      </c>
      <c r="G154">
        <v>297.49</v>
      </c>
      <c r="H154">
        <f t="shared" si="4"/>
        <v>1350.52</v>
      </c>
      <c r="I154">
        <f t="shared" si="5"/>
        <v>376.13</v>
      </c>
    </row>
    <row r="155" spans="1:9" x14ac:dyDescent="0.25">
      <c r="A155" t="s">
        <v>10</v>
      </c>
      <c r="B155" t="s">
        <v>11</v>
      </c>
      <c r="C155" t="s">
        <v>296</v>
      </c>
      <c r="D155" t="s">
        <v>297</v>
      </c>
      <c r="E155">
        <v>4</v>
      </c>
      <c r="F155">
        <v>230.4</v>
      </c>
      <c r="G155">
        <v>330.31</v>
      </c>
      <c r="H155">
        <f t="shared" si="4"/>
        <v>1317.6999999999998</v>
      </c>
      <c r="I155">
        <f t="shared" si="5"/>
        <v>392.67999999999995</v>
      </c>
    </row>
    <row r="156" spans="1:9" x14ac:dyDescent="0.25">
      <c r="A156" t="s">
        <v>10</v>
      </c>
      <c r="B156" t="s">
        <v>11</v>
      </c>
      <c r="C156" t="s">
        <v>298</v>
      </c>
      <c r="D156" t="s">
        <v>299</v>
      </c>
      <c r="E156">
        <v>4</v>
      </c>
      <c r="F156">
        <v>278.61</v>
      </c>
      <c r="G156">
        <v>366.32</v>
      </c>
      <c r="H156">
        <f t="shared" si="4"/>
        <v>1281.69</v>
      </c>
      <c r="I156">
        <f t="shared" si="5"/>
        <v>440.89</v>
      </c>
    </row>
    <row r="157" spans="1:9" x14ac:dyDescent="0.25">
      <c r="A157" t="s">
        <v>10</v>
      </c>
      <c r="B157" t="s">
        <v>11</v>
      </c>
      <c r="C157" t="s">
        <v>300</v>
      </c>
      <c r="D157" t="s">
        <v>301</v>
      </c>
      <c r="E157">
        <v>4</v>
      </c>
      <c r="F157">
        <v>213.27</v>
      </c>
      <c r="G157">
        <v>388.1</v>
      </c>
      <c r="H157">
        <f t="shared" si="4"/>
        <v>1259.9099999999999</v>
      </c>
      <c r="I157">
        <f t="shared" si="5"/>
        <v>375.54999999999995</v>
      </c>
    </row>
    <row r="158" spans="1:9" x14ac:dyDescent="0.25">
      <c r="A158" t="s">
        <v>10</v>
      </c>
      <c r="B158" t="s">
        <v>11</v>
      </c>
      <c r="C158" t="s">
        <v>302</v>
      </c>
      <c r="D158" t="s">
        <v>303</v>
      </c>
      <c r="E158">
        <v>4</v>
      </c>
      <c r="F158">
        <v>244.63</v>
      </c>
      <c r="G158">
        <v>446.18</v>
      </c>
      <c r="H158">
        <f t="shared" si="4"/>
        <v>1201.83</v>
      </c>
      <c r="I158">
        <f t="shared" si="5"/>
        <v>406.90999999999997</v>
      </c>
    </row>
    <row r="159" spans="1:9" x14ac:dyDescent="0.25">
      <c r="A159" t="s">
        <v>10</v>
      </c>
      <c r="B159" t="s">
        <v>11</v>
      </c>
      <c r="C159" t="s">
        <v>304</v>
      </c>
      <c r="D159" t="s">
        <v>305</v>
      </c>
      <c r="E159">
        <v>4</v>
      </c>
      <c r="F159">
        <v>204.26</v>
      </c>
      <c r="G159">
        <v>503.98</v>
      </c>
      <c r="H159">
        <f t="shared" si="4"/>
        <v>1144.0299999999997</v>
      </c>
      <c r="I159">
        <f t="shared" si="5"/>
        <v>366.53999999999996</v>
      </c>
    </row>
    <row r="160" spans="1:9" x14ac:dyDescent="0.25">
      <c r="A160" t="s">
        <v>10</v>
      </c>
      <c r="B160" t="s">
        <v>11</v>
      </c>
      <c r="C160" t="s">
        <v>306</v>
      </c>
      <c r="D160" t="s">
        <v>307</v>
      </c>
      <c r="E160">
        <v>4</v>
      </c>
      <c r="F160">
        <v>221.32</v>
      </c>
      <c r="G160">
        <v>540.44000000000005</v>
      </c>
      <c r="H160">
        <f t="shared" si="4"/>
        <v>1107.5699999999997</v>
      </c>
      <c r="I160">
        <f t="shared" si="5"/>
        <v>383.59999999999997</v>
      </c>
    </row>
    <row r="161" spans="1:9" x14ac:dyDescent="0.25">
      <c r="A161" t="s">
        <v>10</v>
      </c>
      <c r="B161" t="s">
        <v>11</v>
      </c>
      <c r="C161" t="s">
        <v>308</v>
      </c>
      <c r="D161" t="s">
        <v>309</v>
      </c>
      <c r="E161">
        <v>4</v>
      </c>
      <c r="F161">
        <v>203.85</v>
      </c>
      <c r="G161">
        <v>571.79</v>
      </c>
      <c r="H161">
        <f t="shared" si="4"/>
        <v>1076.2199999999998</v>
      </c>
      <c r="I161">
        <f t="shared" si="5"/>
        <v>366.13</v>
      </c>
    </row>
    <row r="162" spans="1:9" x14ac:dyDescent="0.25">
      <c r="A162" t="s">
        <v>10</v>
      </c>
      <c r="B162" t="s">
        <v>11</v>
      </c>
      <c r="C162" t="s">
        <v>310</v>
      </c>
      <c r="D162" t="s">
        <v>311</v>
      </c>
      <c r="E162">
        <v>4</v>
      </c>
      <c r="F162">
        <v>42.74</v>
      </c>
      <c r="G162">
        <v>621.9</v>
      </c>
      <c r="H162">
        <f t="shared" si="4"/>
        <v>1026.1099999999999</v>
      </c>
      <c r="I162">
        <f t="shared" si="5"/>
        <v>205.01999999999998</v>
      </c>
    </row>
    <row r="163" spans="1:9" x14ac:dyDescent="0.25">
      <c r="A163" t="s">
        <v>10</v>
      </c>
      <c r="B163" t="s">
        <v>11</v>
      </c>
      <c r="C163" t="s">
        <v>312</v>
      </c>
      <c r="D163" t="s">
        <v>313</v>
      </c>
      <c r="E163">
        <v>4</v>
      </c>
      <c r="F163">
        <v>176.61</v>
      </c>
      <c r="G163">
        <v>577.70000000000005</v>
      </c>
      <c r="H163">
        <f t="shared" si="4"/>
        <v>1070.31</v>
      </c>
      <c r="I163">
        <f t="shared" si="5"/>
        <v>338.89</v>
      </c>
    </row>
    <row r="164" spans="1:9" x14ac:dyDescent="0.25">
      <c r="A164" t="s">
        <v>10</v>
      </c>
      <c r="B164" t="s">
        <v>11</v>
      </c>
      <c r="C164" t="s">
        <v>314</v>
      </c>
      <c r="D164" t="s">
        <v>315</v>
      </c>
      <c r="E164">
        <v>4</v>
      </c>
      <c r="F164">
        <v>226.97</v>
      </c>
      <c r="G164">
        <v>610.85</v>
      </c>
      <c r="H164">
        <f t="shared" si="4"/>
        <v>1037.1599999999999</v>
      </c>
      <c r="I164">
        <f t="shared" si="5"/>
        <v>389.25</v>
      </c>
    </row>
    <row r="165" spans="1:9" x14ac:dyDescent="0.25">
      <c r="A165" t="s">
        <v>10</v>
      </c>
      <c r="B165" t="s">
        <v>11</v>
      </c>
      <c r="C165" t="s">
        <v>316</v>
      </c>
      <c r="D165" t="s">
        <v>317</v>
      </c>
      <c r="E165">
        <v>4</v>
      </c>
      <c r="F165">
        <v>204.87</v>
      </c>
      <c r="G165">
        <v>634.74</v>
      </c>
      <c r="H165">
        <f t="shared" si="4"/>
        <v>1013.2699999999999</v>
      </c>
      <c r="I165">
        <f t="shared" si="5"/>
        <v>367.15</v>
      </c>
    </row>
    <row r="166" spans="1:9" x14ac:dyDescent="0.25">
      <c r="A166" t="s">
        <v>10</v>
      </c>
      <c r="B166" t="s">
        <v>11</v>
      </c>
      <c r="C166" t="s">
        <v>318</v>
      </c>
      <c r="D166" t="s">
        <v>319</v>
      </c>
      <c r="E166">
        <v>4</v>
      </c>
      <c r="F166">
        <v>250.1</v>
      </c>
      <c r="G166">
        <v>659.92</v>
      </c>
      <c r="H166">
        <f t="shared" si="4"/>
        <v>988.08999999999992</v>
      </c>
      <c r="I166">
        <f t="shared" si="5"/>
        <v>412.38</v>
      </c>
    </row>
    <row r="167" spans="1:9" x14ac:dyDescent="0.25">
      <c r="A167" t="s">
        <v>10</v>
      </c>
      <c r="B167" t="s">
        <v>11</v>
      </c>
      <c r="C167" t="s">
        <v>320</v>
      </c>
      <c r="D167" t="s">
        <v>321</v>
      </c>
      <c r="E167">
        <v>4</v>
      </c>
      <c r="F167">
        <v>148.86000000000001</v>
      </c>
      <c r="G167">
        <v>693.07</v>
      </c>
      <c r="H167">
        <f t="shared" si="4"/>
        <v>954.93999999999983</v>
      </c>
      <c r="I167">
        <f t="shared" si="5"/>
        <v>311.14</v>
      </c>
    </row>
    <row r="168" spans="1:9" x14ac:dyDescent="0.25">
      <c r="A168" t="s">
        <v>10</v>
      </c>
      <c r="B168" t="s">
        <v>11</v>
      </c>
      <c r="C168" t="s">
        <v>322</v>
      </c>
      <c r="D168" t="s">
        <v>323</v>
      </c>
      <c r="E168">
        <v>4</v>
      </c>
      <c r="F168">
        <v>234.42</v>
      </c>
      <c r="G168">
        <v>689.47</v>
      </c>
      <c r="H168">
        <f t="shared" si="4"/>
        <v>958.53999999999985</v>
      </c>
      <c r="I168">
        <f t="shared" si="5"/>
        <v>396.69999999999993</v>
      </c>
    </row>
    <row r="169" spans="1:9" x14ac:dyDescent="0.25">
      <c r="A169" t="s">
        <v>10</v>
      </c>
      <c r="B169" t="s">
        <v>11</v>
      </c>
      <c r="C169" t="s">
        <v>324</v>
      </c>
      <c r="D169" t="s">
        <v>325</v>
      </c>
      <c r="E169">
        <v>4</v>
      </c>
      <c r="F169">
        <v>197.17</v>
      </c>
      <c r="G169">
        <v>749.86</v>
      </c>
      <c r="H169">
        <f t="shared" si="4"/>
        <v>898.14999999999986</v>
      </c>
      <c r="I169">
        <f t="shared" si="5"/>
        <v>359.44999999999993</v>
      </c>
    </row>
    <row r="170" spans="1:9" x14ac:dyDescent="0.25">
      <c r="A170" t="s">
        <v>10</v>
      </c>
      <c r="B170" t="s">
        <v>11</v>
      </c>
      <c r="C170" t="s">
        <v>326</v>
      </c>
      <c r="D170" t="s">
        <v>327</v>
      </c>
      <c r="E170">
        <v>4</v>
      </c>
      <c r="F170">
        <v>265.57</v>
      </c>
      <c r="G170">
        <v>730.57</v>
      </c>
      <c r="H170">
        <f t="shared" si="4"/>
        <v>917.43999999999983</v>
      </c>
      <c r="I170">
        <f t="shared" si="5"/>
        <v>427.84999999999997</v>
      </c>
    </row>
    <row r="171" spans="1:9" x14ac:dyDescent="0.25">
      <c r="A171" t="s">
        <v>10</v>
      </c>
      <c r="B171" t="s">
        <v>11</v>
      </c>
      <c r="C171" t="s">
        <v>328</v>
      </c>
      <c r="D171" t="s">
        <v>329</v>
      </c>
      <c r="E171">
        <v>4</v>
      </c>
      <c r="F171">
        <v>150.87</v>
      </c>
      <c r="G171">
        <v>824.3</v>
      </c>
      <c r="H171">
        <f t="shared" si="4"/>
        <v>823.70999999999992</v>
      </c>
      <c r="I171">
        <f t="shared" si="5"/>
        <v>313.14999999999998</v>
      </c>
    </row>
    <row r="172" spans="1:9" x14ac:dyDescent="0.25">
      <c r="A172" t="s">
        <v>10</v>
      </c>
      <c r="B172" t="s">
        <v>11</v>
      </c>
      <c r="C172" t="s">
        <v>330</v>
      </c>
      <c r="D172" t="s">
        <v>331</v>
      </c>
      <c r="E172">
        <v>4</v>
      </c>
      <c r="F172">
        <v>248.61</v>
      </c>
      <c r="G172">
        <v>805.49</v>
      </c>
      <c r="H172">
        <f t="shared" si="4"/>
        <v>842.51999999999987</v>
      </c>
      <c r="I172">
        <f t="shared" si="5"/>
        <v>410.89</v>
      </c>
    </row>
    <row r="173" spans="1:9" x14ac:dyDescent="0.25">
      <c r="A173" t="s">
        <v>10</v>
      </c>
      <c r="B173" t="s">
        <v>11</v>
      </c>
      <c r="C173" t="s">
        <v>332</v>
      </c>
      <c r="D173" t="s">
        <v>333</v>
      </c>
      <c r="E173">
        <v>4</v>
      </c>
      <c r="F173">
        <v>283.02999999999997</v>
      </c>
      <c r="G173">
        <v>776.01</v>
      </c>
      <c r="H173">
        <f t="shared" si="4"/>
        <v>871.99999999999989</v>
      </c>
      <c r="I173">
        <f t="shared" si="5"/>
        <v>445.30999999999995</v>
      </c>
    </row>
    <row r="174" spans="1:9" x14ac:dyDescent="0.25">
      <c r="A174" t="s">
        <v>10</v>
      </c>
      <c r="B174" t="s">
        <v>11</v>
      </c>
      <c r="C174" t="s">
        <v>334</v>
      </c>
      <c r="D174" t="s">
        <v>335</v>
      </c>
      <c r="E174">
        <v>4</v>
      </c>
      <c r="F174">
        <v>311.14</v>
      </c>
      <c r="G174">
        <v>834.1</v>
      </c>
      <c r="H174">
        <f t="shared" si="4"/>
        <v>813.90999999999985</v>
      </c>
      <c r="I174">
        <f t="shared" si="5"/>
        <v>473.41999999999996</v>
      </c>
    </row>
    <row r="175" spans="1:9" x14ac:dyDescent="0.25">
      <c r="A175" t="s">
        <v>10</v>
      </c>
      <c r="B175" t="s">
        <v>11</v>
      </c>
      <c r="C175" t="s">
        <v>336</v>
      </c>
      <c r="D175" t="s">
        <v>337</v>
      </c>
      <c r="E175">
        <v>4</v>
      </c>
      <c r="F175">
        <v>264.97000000000003</v>
      </c>
      <c r="G175">
        <v>952.55</v>
      </c>
      <c r="H175">
        <f t="shared" si="4"/>
        <v>695.45999999999992</v>
      </c>
      <c r="I175">
        <f t="shared" si="5"/>
        <v>427.25</v>
      </c>
    </row>
    <row r="176" spans="1:9" x14ac:dyDescent="0.25">
      <c r="A176" t="s">
        <v>10</v>
      </c>
      <c r="B176" t="s">
        <v>11</v>
      </c>
      <c r="C176" t="s">
        <v>338</v>
      </c>
      <c r="D176" t="s">
        <v>339</v>
      </c>
      <c r="E176">
        <v>4</v>
      </c>
      <c r="F176">
        <v>357.47</v>
      </c>
      <c r="G176">
        <v>901.06</v>
      </c>
      <c r="H176">
        <f t="shared" si="4"/>
        <v>746.94999999999993</v>
      </c>
      <c r="I176">
        <f t="shared" si="5"/>
        <v>519.75</v>
      </c>
    </row>
    <row r="177" spans="1:9" x14ac:dyDescent="0.25">
      <c r="A177" t="s">
        <v>10</v>
      </c>
      <c r="B177" t="s">
        <v>11</v>
      </c>
      <c r="C177" t="s">
        <v>340</v>
      </c>
      <c r="D177" t="s">
        <v>341</v>
      </c>
      <c r="E177">
        <v>4</v>
      </c>
      <c r="F177">
        <v>323.55</v>
      </c>
      <c r="G177">
        <v>977.53</v>
      </c>
      <c r="H177">
        <f t="shared" si="4"/>
        <v>670.4799999999999</v>
      </c>
      <c r="I177">
        <f t="shared" si="5"/>
        <v>485.83</v>
      </c>
    </row>
    <row r="178" spans="1:9" x14ac:dyDescent="0.25">
      <c r="A178" t="s">
        <v>10</v>
      </c>
      <c r="B178" t="s">
        <v>11</v>
      </c>
      <c r="C178" t="s">
        <v>342</v>
      </c>
      <c r="D178" t="s">
        <v>343</v>
      </c>
      <c r="E178">
        <v>4</v>
      </c>
      <c r="F178">
        <v>363.63</v>
      </c>
      <c r="G178">
        <v>940.83</v>
      </c>
      <c r="H178">
        <f t="shared" si="4"/>
        <v>707.17999999999984</v>
      </c>
      <c r="I178">
        <f t="shared" si="5"/>
        <v>525.91</v>
      </c>
    </row>
    <row r="179" spans="1:9" x14ac:dyDescent="0.25">
      <c r="A179" t="s">
        <v>10</v>
      </c>
      <c r="B179" t="s">
        <v>11</v>
      </c>
      <c r="C179" t="s">
        <v>344</v>
      </c>
      <c r="D179" t="s">
        <v>345</v>
      </c>
      <c r="E179">
        <v>4</v>
      </c>
      <c r="F179">
        <v>392.62</v>
      </c>
      <c r="G179">
        <v>973.83</v>
      </c>
      <c r="H179">
        <f t="shared" si="4"/>
        <v>674.17999999999984</v>
      </c>
      <c r="I179">
        <f t="shared" si="5"/>
        <v>554.9</v>
      </c>
    </row>
    <row r="180" spans="1:9" x14ac:dyDescent="0.25">
      <c r="A180" t="s">
        <v>10</v>
      </c>
      <c r="B180" t="s">
        <v>346</v>
      </c>
      <c r="C180" t="s">
        <v>347</v>
      </c>
      <c r="D180" t="s">
        <v>348</v>
      </c>
      <c r="E180">
        <v>2</v>
      </c>
      <c r="F180">
        <v>241.89</v>
      </c>
      <c r="G180">
        <v>129.15</v>
      </c>
      <c r="H180">
        <f t="shared" si="4"/>
        <v>1518.8599999999997</v>
      </c>
      <c r="I180">
        <f t="shared" si="5"/>
        <v>404.16999999999996</v>
      </c>
    </row>
    <row r="181" spans="1:9" x14ac:dyDescent="0.25">
      <c r="A181" t="s">
        <v>10</v>
      </c>
      <c r="B181" t="s">
        <v>346</v>
      </c>
      <c r="C181" t="s">
        <v>349</v>
      </c>
      <c r="D181" t="s">
        <v>350</v>
      </c>
      <c r="E181">
        <v>2</v>
      </c>
      <c r="F181">
        <v>21.38</v>
      </c>
      <c r="G181">
        <v>387.25</v>
      </c>
      <c r="H181">
        <f t="shared" si="4"/>
        <v>1260.7599999999998</v>
      </c>
      <c r="I181">
        <f t="shared" si="5"/>
        <v>183.65999999999997</v>
      </c>
    </row>
    <row r="182" spans="1:9" x14ac:dyDescent="0.25">
      <c r="A182" t="s">
        <v>10</v>
      </c>
      <c r="B182" t="s">
        <v>346</v>
      </c>
      <c r="C182" t="s">
        <v>351</v>
      </c>
      <c r="D182" t="s">
        <v>352</v>
      </c>
      <c r="E182">
        <v>2</v>
      </c>
      <c r="F182">
        <v>65.83</v>
      </c>
      <c r="G182">
        <v>294.05</v>
      </c>
      <c r="H182">
        <f t="shared" si="4"/>
        <v>1353.96</v>
      </c>
      <c r="I182">
        <f t="shared" si="5"/>
        <v>228.10999999999996</v>
      </c>
    </row>
    <row r="183" spans="1:9" x14ac:dyDescent="0.25">
      <c r="A183" t="s">
        <v>10</v>
      </c>
      <c r="B183" t="s">
        <v>346</v>
      </c>
      <c r="C183" t="s">
        <v>353</v>
      </c>
      <c r="D183" t="s">
        <v>354</v>
      </c>
      <c r="E183">
        <v>2</v>
      </c>
      <c r="F183">
        <v>91.92</v>
      </c>
      <c r="G183">
        <v>479.78</v>
      </c>
      <c r="H183">
        <f t="shared" si="4"/>
        <v>1168.23</v>
      </c>
      <c r="I183">
        <f t="shared" si="5"/>
        <v>254.2</v>
      </c>
    </row>
    <row r="184" spans="1:9" x14ac:dyDescent="0.25">
      <c r="A184" t="s">
        <v>10</v>
      </c>
      <c r="B184" t="s">
        <v>346</v>
      </c>
      <c r="C184" t="s">
        <v>355</v>
      </c>
      <c r="D184" t="s">
        <v>356</v>
      </c>
      <c r="E184">
        <v>2</v>
      </c>
      <c r="F184">
        <v>0.2</v>
      </c>
      <c r="G184">
        <v>562.45000000000005</v>
      </c>
      <c r="H184">
        <f t="shared" si="4"/>
        <v>1085.56</v>
      </c>
      <c r="I184">
        <f t="shared" si="5"/>
        <v>162.47999999999996</v>
      </c>
    </row>
    <row r="185" spans="1:9" x14ac:dyDescent="0.25">
      <c r="A185" t="s">
        <v>10</v>
      </c>
      <c r="B185" t="s">
        <v>346</v>
      </c>
      <c r="C185" t="s">
        <v>357</v>
      </c>
      <c r="D185" t="s">
        <v>358</v>
      </c>
      <c r="E185">
        <v>2</v>
      </c>
      <c r="F185">
        <v>8.9700000000000006</v>
      </c>
      <c r="G185">
        <v>818.87</v>
      </c>
      <c r="H185">
        <f t="shared" si="4"/>
        <v>829.13999999999987</v>
      </c>
      <c r="I185">
        <f t="shared" si="5"/>
        <v>171.24999999999997</v>
      </c>
    </row>
    <row r="186" spans="1:9" x14ac:dyDescent="0.25">
      <c r="A186" t="s">
        <v>10</v>
      </c>
      <c r="B186" t="s">
        <v>346</v>
      </c>
      <c r="C186" t="s">
        <v>359</v>
      </c>
      <c r="D186" t="s">
        <v>360</v>
      </c>
      <c r="E186">
        <v>2</v>
      </c>
      <c r="F186">
        <v>107.41</v>
      </c>
      <c r="G186">
        <v>941.41</v>
      </c>
      <c r="H186">
        <f t="shared" si="4"/>
        <v>706.59999999999991</v>
      </c>
      <c r="I186">
        <f t="shared" si="5"/>
        <v>269.68999999999994</v>
      </c>
    </row>
    <row r="187" spans="1:9" x14ac:dyDescent="0.25">
      <c r="A187" t="s">
        <v>10</v>
      </c>
      <c r="B187" t="s">
        <v>346</v>
      </c>
      <c r="C187" t="s">
        <v>361</v>
      </c>
      <c r="D187" t="s">
        <v>362</v>
      </c>
      <c r="E187">
        <v>2</v>
      </c>
      <c r="F187">
        <v>150.32</v>
      </c>
      <c r="G187">
        <v>1017.75</v>
      </c>
      <c r="H187">
        <f t="shared" si="4"/>
        <v>630.25999999999988</v>
      </c>
      <c r="I187">
        <f t="shared" si="5"/>
        <v>312.59999999999997</v>
      </c>
    </row>
    <row r="188" spans="1:9" x14ac:dyDescent="0.25">
      <c r="A188" t="s">
        <v>363</v>
      </c>
      <c r="B188" t="s">
        <v>364</v>
      </c>
      <c r="C188" t="s">
        <v>365</v>
      </c>
      <c r="D188" t="s">
        <v>366</v>
      </c>
      <c r="E188">
        <v>3</v>
      </c>
      <c r="F188">
        <v>376.68</v>
      </c>
      <c r="G188">
        <v>97.31</v>
      </c>
      <c r="H188">
        <f t="shared" si="4"/>
        <v>1550.6999999999998</v>
      </c>
      <c r="I188">
        <f t="shared" si="5"/>
        <v>538.96</v>
      </c>
    </row>
  </sheetData>
  <autoFilter ref="A11:I188" xr:uid="{D46EC27D-1E34-454F-9980-217DB497A9A9}"/>
  <pageMargins left="0.7" right="0.7" top="0.75" bottom="0.75" header="0.3" footer="0.3"/>
  <pageSetup orientation="portrait" horizontalDpi="0" verticalDpi="0" r:id="rId1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Phithakkit Phasuk (phphasuk)</cp:lastModifiedBy>
  <dcterms:created xsi:type="dcterms:W3CDTF">2025-12-05T20:58:22Z</dcterms:created>
  <dcterms:modified xsi:type="dcterms:W3CDTF">2026-01-06T17:39:27Z</dcterms:modified>
</cp:coreProperties>
</file>